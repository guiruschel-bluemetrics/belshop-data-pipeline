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ilherme Ruschel\Documents\GitHub\Belshop\"/>
    </mc:Choice>
  </mc:AlternateContent>
  <xr:revisionPtr revIDLastSave="0" documentId="13_ncr:1_{6B3C0CC4-FCFB-4793-9B2E-AA2E800929E3}" xr6:coauthVersionLast="47" xr6:coauthVersionMax="47" xr10:uidLastSave="{00000000-0000-0000-0000-000000000000}"/>
  <bookViews>
    <workbookView xWindow="-135" yWindow="-135" windowWidth="29070" windowHeight="15750" activeTab="5" xr2:uid="{E7B59A30-64F2-479A-9D89-3EBB6C98E71F}"/>
  </bookViews>
  <sheets>
    <sheet name="stg" sheetId="1" r:id="rId1"/>
    <sheet name="Gold" sheetId="2" r:id="rId2"/>
    <sheet name="Camada Relacional" sheetId="3" r:id="rId3"/>
    <sheet name="Planilha1" sheetId="5" r:id="rId4"/>
    <sheet name="Planilha2" sheetId="6" r:id="rId5"/>
    <sheet name="Ordem jobs" sheetId="4" r:id="rId6"/>
  </sheets>
  <definedNames>
    <definedName name="_xlnm._FilterDatabase" localSheetId="0" hidden="1">stg!$A$1:$D$49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6" l="1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H2" i="6"/>
  <c r="H1" i="6"/>
</calcChain>
</file>

<file path=xl/sharedStrings.xml><?xml version="1.0" encoding="utf-8"?>
<sst xmlns="http://schemas.openxmlformats.org/spreadsheetml/2006/main" count="617" uniqueCount="256">
  <si>
    <t xml:space="preserve"> SELECT Upper(Rtrim(V.codigo_empresa))                        AS
       "Codigo da Empresa",
       Upper(Rtrim(V.codigo_venda))                          AS
       "Codigo da Venda",
       Upper(Rtrim(V.serie))                                 AS "Serie da Venda"
       ,
       Upper(Rtrim(V.codigo_cliente))                        AS
       "Codigo do Cliente",
       Upper(Rtrim(V.codigo_vendedor))                       AS
       "Codigo do Vendedor",
       V.data_venda                                          AS "Data da Venda",
       V.valor_venda_liquida_total                           AS
       "Valor da Venda Bruta Total",
       V.valor_troca_total                                   AS
       "Valor em Vale-Troca Total",
       ( V.valor_venda_liquida_total - V.valor_troca_total ) AS
       "Valor da Venda Liquida Total",
       V.qtde_venda_bruta_total                              AS
       "Quantidade Venda Bruta Total",
       V.qtde_troca_total                                    AS
       "Quantidade Troca Total",
       V.qtde_venda_liquida_total                            AS
       "Quantidade Venda Liquida Total",
       V.custo_venda_total                                   AS
       "Custo da Venda Total",
       V.custo_troca_total                                   AS
       "Custo de Troca Total",
       V.frete                                               AS "Frete",
       NULL                                                  AS
       "Codigo do Produto",
       0                                                     AS
       "Quantidade Venda Itens",
       0                                                     AS
       "Valor da Venda Itens",
       0                                                     AS
       "Custo da Venda Itens",
       0                                                     AS
       "Quantidade Troca Itens",
       0                                                     AS
       "Valor de Troca Itens",
       0                                                     AS
       "Custo de Troca Itens"
FROM   PUBLIC.vendas V
WHERE  V.data_venda &gt;= To_date('2021-01-01', 'YYYY-MM-DD')</t>
  </si>
  <si>
    <t>Tabela</t>
  </si>
  <si>
    <t>Query</t>
  </si>
  <si>
    <t>Vendas Linx principal 2021</t>
  </si>
  <si>
    <t xml:space="preserve"> </t>
  </si>
  <si>
    <t>SELECT Upper(Rtrim(V.codigo_empresa))  AS "Codigo da Empresa",
       Upper(Rtrim(V.codigo_venda))    AS "Codigo da Venda",
       Upper(Rtrim(V.serie))           AS "Serie da Venda",
       Upper(Rtrim(V.codigo_cliente))  AS "Codigo do Cliente",
       Upper(Rtrim(V.codigo_vendedor)) AS "Codigo do Vendedor",
       V.data_venda                    AS "Data da Venda",
       0                               AS "Valor da Venda Bruta Total",
       0                               AS "Valor de Troca Total",
       0                               AS "Valor da Venda Liquida Total",
       0                               AS "Quantidade Venda Bruta Total",
       0                               AS "Quantidade Troca Total",
       0                               AS "Quantidade Venda Liquida Total",
       0                               AS "Custo da Venda Total",
       0                               AS "Custo de Troca Total",
       0                               AS "Frete",
       Upper(Rtrim(IV.codigo_produto)) AS "Codigo do Produto",
       IV.quantidade_venda_itens       AS "Quantidade Venda Itens",
       IV.valor_venda_itens            AS "Valor da Venda Itens",
       IV.custo_venda_itens            AS "Custo da Venda Itens",
       0                               AS "Quantidade Troca Itens",
       0                               AS "Valor de Troca Itens",
       0                               AS "Custo de Troca Itens"
FROM   PUBLIC.vendas V
       JOIN itens_vendas IV
         ON ( IV.codigo_empresa = V.codigo_empresa
              AND IV.codigo_venda = V.codigo_venda
              AND IV.data = V.data_venda )
WHERE  V.data_venda between To_date('2021-01-01', 'YYYY-MM-DD') and current_date</t>
  </si>
  <si>
    <t>items vendas 2021</t>
  </si>
  <si>
    <t>itens trocas 2021</t>
  </si>
  <si>
    <t xml:space="preserve">SELECT Upper(Rtrim(V.codigo_empresa))  AS "Codigo da Empresa",
       Upper(Rtrim(V.codigo_venda))    AS "Codigo da Venda",
       Upper(Rtrim(V.serie))           AS "Serie da Venda",
       Upper(Rtrim(V.codigo_cliente))  AS "Codigo do Cliente",
       Upper(Rtrim(V.codigo_vendedor)) AS "Codigo do Vendedor",
       V.data_venda                    AS "Data da Venda",
       0                               AS "Valor da Venda Bruta Total",
       0                               AS "Valor de Troca Total",
       0                               AS "Valor da Venda Liquida Total",
       0                               AS "Quantidade Venda Bruta Total",
       0                               AS "Quantidade Troca Total",
       0                               AS "Quantidade Venda Liquida Total",
       0                               AS "Custo da Venda Total",
       0                               AS "Custo de Troca Total",
       0                               AS "Frete",
       Upper(Rtrim(IT.codigo_produto)) AS "Codigo do Produto",
       0                               AS "Quantidade Venda Itens",
       0                               AS "Valor da Venda Itens",
       0                               AS "Custo da Venda Itens",
       IT.quantidade_troca_itens       AS "Quantidade Troca Itens",
       IT.valor_troca_itens            AS "Valor de Troca Itens",
       IT.custo_troca_itens            AS "Custo de Troca Itens"
FROM   PUBLIC.vendas V
       JOIN itens_trocas IT
         ON ( IT.codigo_empresa = V.codigo_empresa
              AND IT.codigo_venda = V.codigo_venda
              AND IT.data = V.data_venda )
WHERE  V.data_venda &gt;= To_date('2021-01-01', 'YYYY-MM-DD')  </t>
  </si>
  <si>
    <t>usuarios</t>
  </si>
  <si>
    <t>SELECT * FROM public.Usuarios</t>
  </si>
  <si>
    <t>SELECT * FROM "public"."depositos"</t>
  </si>
  <si>
    <t>depositos_Linx</t>
  </si>
  <si>
    <t>SELECT  P.DATA_LANCAMENTO AS "Data do Lancamento", 
        P.CODIGO_TERMINAL AS "Codigo do Terminal", 
        P.CODIGOLANCAMENTO AS "Codigo do Lancamento"  , 
        UPPER(RTRIM(P.CODIGO_FILIAL)) AS "Codigo da Filial", 
        P.ADMINISTRADORA AS "Administradora", 
        P.TIPO_PAGAMENTO AS "Tipo Pagamento", 
        P.PARCELAS AS "Parcelas", 
        P.MODALIDADE_PAGAMENTO AS "Modalidade Pagamento", 
        P.NOME_FILIAL AS "Nome da Filial", 
        SUM(P.VALOR) AS "Valor" 
FROM PAGAMENTOS P 
WHERE P.DATA_LANCAMENTO between to_date('2022-03-01', 'YYYY-MM-DD') and CURRENT_DATE
GROUP BY P.DATA_LANCAMENTO, P.CODIGO_TERMINAL, 
         P.CODIGOLANCAMENTO, UPPER(RTRIM(P.CODIGO_FILIAL)), 
         P.ADMINISTRADORA, P.TIPO_PAGAMENTO, P.PARCELAS,
         P.MODALIDADE_PAGAMENTO, P.NOME_FILIAL</t>
  </si>
  <si>
    <t>Pagamentos Loja Linx Principal</t>
  </si>
  <si>
    <t>SELECT * FROM "public"."vendas_saldos"</t>
  </si>
  <si>
    <t>vendas_saldos</t>
  </si>
  <si>
    <t>SELECT * FROM "public"."fornecedores"</t>
  </si>
  <si>
    <t>Fornecedores Linx Principal</t>
  </si>
  <si>
    <t>SELECT UPPER(RTRIM(V.CODIGO_EMPRESA)) AS "Codigo da Empresa"  , V.DATA_VENDA AS "Data da Venda"  , SUM(V.VALOR_VENDA_BRUTA_TOTAL) AS "Valor da Venda Bruta Total"  , SUM(V.VALOR_TROCA_TOTAL) AS "Valor de Troca Total"  , SUM(V.DESCONTO_TOTAL) AS "Desconto Total"  , SUM(V.VALOR_VENDA_LIQUIDA_TOTAL) AS "Valor da Venda Liquida Total"  , SUM(V.QTDE_VENDA_BRUTA_TOTAL) AS "Quantidade Venda Bruta Total"  , SUM(V.QTDE_TROCA_TOTAL) AS "Quantidade Troca Total"  , SUM(QTDE_VENDA_LIQUIDA_TOTAL) AS "Quantidade Venda Liquida Total" FROM VENDAS V WHERE V.DATA_VENDA &gt;= CURRENT_DATE - INTERVAL '5 years' GROUP BY UPPER(RTRIM(V.CODIGO_EMPRESA))  , UPPER(RTRIM(V.CODIGO_EMPRESA))  , UPPER(RTRIM(V.CODIGO_EMPRESA))  , V.DATA_VENDA</t>
  </si>
  <si>
    <t>Vendas 5 Anos Linx Principal</t>
  </si>
  <si>
    <t>Vendedores Linx Principal</t>
  </si>
  <si>
    <t>SELECT DISTINCT UPPER(RTRIM(V.CODIGO)) AS "Codigo"  , UPPER(V.NOME) AS "Nome" FROM VENDEDORES V</t>
  </si>
  <si>
    <t>SELECT UPPER(LTRIM(RTRIM(E.CODIGO_PRODUTO))) AS "Codigo do Produto"  , 
       UPPER(LTRIM(RTRIM(E.CODIGO_EMPRESA))) AS "Codigo da Empresa"  , 
       E.DATA_ULTIMA_SAIDA                   AS "Data Ultima Saida"  , 
       E.DATA_ULTIMA_ENTRADA                 AS "Data Ultima Entrada"  , 
       E.DATA_PRIMEIRA_ENTRADA               AS "Data Primeira Entrada"  , 
       COALESCE(E.QUANTIDADE,0)              AS "Quantidade"  , 
       E.ULTIMO_CUSTO                        AS "Ultimo Custo",
       COALESCE(E.CODIGO_DEPOSITO,'0')         AS "Codigo do Deposito"
FROM ESTOQUES E 
WHERE COALESCE(E.QUANTIDADE,0)&lt;&gt;0</t>
  </si>
  <si>
    <t>Estoques Linx Principal</t>
  </si>
  <si>
    <t>SELECT UPPER(RTRIM(E.CODIGO_FILIAL)) AS "Codigo da Empresa"  , UPPER(RTRIM(E.NOME)) AS "Nome"  , E.DATA_ABERTURA AS "Data de Abertura"  , E.DATA_FECHAMENTO AS "Data de Fechamento" FROM EMPRESAS E</t>
  </si>
  <si>
    <t>Empresas Linx Principal</t>
  </si>
  <si>
    <t>SELECT UPPER(RTRIM(C.CODIGO)) AS "Codigo"  , UPPER(C.NOME) AS "Nome"  , UPPER(C.SEXO) AS "Sexo"  , UPPER(C.CIDADE) AS "Cidade"  , UPPER(C.UF) AS "UF"  , (CASE    WHEN UPPER(C.PAIS) = 'BRASIL' THEN 'BRAZIL'   ELSE C.PAIS   END) AS "Pais"  , C.DDD_FIXO AS "DDD"  , C.FONE AS "Fone"  , C.DDD_CELULAR AS "DDD Celular"  , C.CELULAR AS "Celular"  , UPPER(C.EMAIL) AS "Email"  , C.DATA_CADASTRO AS "Data de Cadastro"  , C.DATA_NASCIMENTO AS "Data de Nascimento"  , UPPER(C.CODIGO_TIPO) AS "Codigo do Tipo"  , UPPER(RTRIM(C.FILIAL_CADASTRO)) AS "Filial de Cadastro" FROM CLIENTES C</t>
  </si>
  <si>
    <t>Clientes Linx Principal</t>
  </si>
  <si>
    <t>SELECT UPPER(RTRIM(P.CODIGO)) AS "Codigo", 
UPPER(P.NOME) AS "Nome", 
UPPER(P.GRUPO) AS "Grupo",
UPPER(P.SUBGRUPO) AS "Subgrupo",
UPPER(P.COLECAO) AS "Colecao",
UPPER(P.FORNECEDOR) AS "Fabricante",
UPPER(P.MARCA) AS "Marca",
UPPER(P.LINHA) AS "Linha",
P.codigo_comprador,
P.ULTIMO_CUSTO AS "Ultimo Custo",
P.Codigo_barras 
FROM PRODUTOS P
left join usuarios on usuarios."codigo" = p.codigo_comprador</t>
  </si>
  <si>
    <t>Produtos Linx Principal</t>
  </si>
  <si>
    <t>Tabelas utilizadas</t>
  </si>
  <si>
    <t>SELECT V.*,
GetHour([Data da Venda]) AS [HORA],
V.[Quantidade Venda Itens]-V.[Quantidade Troca Itens] AS [Quantidade Venda Liquida Itens],
V.[Valor da Venda Itens]-V.[Valor de Troca Itens] AS [Valor da Venda Liquida Itens],
V.[Custo da Venda Itens]-V.[Custo de Troca Itens] AS [Custo da Venda Liquida Itens],
V.[Codigo da Venda]+'-'+V.[Codigo da Empresa]+'-'+tostring(V.[Data da Venda]) AS [UK Venda],
CASE
	WHEN V.[Valor da Venda Liquida Total] &gt;=0 AND V.[Valor da Venda Liquida Total] &lt;25 THEN 'FAIXA 1 - ATÉ R$ 25'
	WHEN V.[Valor da Venda Liquida Total] &gt;=25 AND V.[Valor da Venda Liquida Total] &lt;50 THEN 'FAIXA 2 - ENTRE R$ 25 E R$ 50'
	WHEN V.[Valor da Venda Liquida Total] &gt;=50 AND V.[Valor da Venda Liquida Total] &lt;75 THEN 'FAIXA 3 - ENTRE R$ 50 E R$ 75'
	WHEN V.[Valor da Venda Liquida Total] &gt;=75 AND V.[Valor da Venda Liquida Total] &lt;100 THEN 'FAIXA 4 - ENTRE R$ 75 E R$ 100'
	WHEN V.[Valor da Venda Liquida Total] &gt;=100 AND V.[Valor da Venda Liquida Total] &lt;250 THEN 'FAIXA 5 - ENTRE R$ 100 E R$ 250'
	WHEN V.[Valor da Venda Liquida Total] &gt;=250 AND V.[Valor da Venda Liquida Total] &lt;500 THEN 'FAIXA 6 - ENTRE R$ 250 E R$ 500'
	WHEN V.[Valor da Venda Liquida Total] &gt;=500 THEN 'FAIXA 7 - ACIMA DE R$ 500'
END AS [Faixa de Valor],
CreateDate(GetYear(V.[Data da Venda]),GetMonth(V.[Data da Venda]),1) AS [Mes de Referencia],
'MICROVIX' + '||' + V.[Codigo do Cliente] AS [FK Cliente],
'MICROVIX' + '||' + V.[Codigo do Vendedor] AS [FK Vendedores],
V.[Codigo da Empresa] AS [FK Empresas],
'MICROVIX' + '||' + V.[Codigo do Produto] AS [FK Produtos], 
'MICROVIX' AS [Sistema Origem],
'VENDA PRODUTOS' AS [Operacao],
0 AS [Desconto Total]
FROM(SELECT * FROM [Vendas Linx Principal 2021]
UNION ALL
SELECT * FROM [items vendas 2021]
UNION ALL
SELECT * FROM [itens trocas 2021]
UNION ALL
SELECT * FROM [aux_vendas_linx_2020_2021]) V</t>
  </si>
  <si>
    <t>Vendas linx principal</t>
  </si>
  <si>
    <t>SELECT E.[Codigo do Produto] AS IDPRODUTO
	, MAX(E.[Data Ultima Entrada]) DATA_ULTIMA_ENTRADA
FROM [Estoques Linx Principal] E
GROUP BY E.[Codigo do Produto]</t>
  </si>
  <si>
    <t>AuxProdutosEstoque Linx Principal</t>
  </si>
  <si>
    <t>SELECT V.[Codigo da Empresa] AS IDFILIAL, MAX(V.[Data da Venda]) DATA_ULTIMA_VENDA
FROM [Vendas Linx Principal] V
GROUP BY V.[Codigo da Empresa]</t>
  </si>
  <si>
    <t>AuxEmpresasUltVenda Linx Principal</t>
  </si>
  <si>
    <t xml:space="preserve">
-- RECEITAS REALIZADAS POR LOJA
-- #################################
SELECT R.[Codigo da Empresa]
	, R.[Mes de Referencia] AS Mes
	, SUM(R.[Venda Realizada]) AS Valor_Receita_Loja
	, T.Valor AS Valor_Receita_Total
	, SUM(R.[Venda Realizada])/T.Valor AS Perc_Rec_Total
	, D2.Valor AS Valor_Despesa_CD
	, D2.Valor * SUM(R.[Venda Realizada])/T.Valor AS Contrib_Loja_Despesa_CD
	, D3.Valor AS Valor_Despesa_CD_Sem_Compras
	, D3.Valor * SUM(R.[Venda Realizada])/T.Valor AS Contrib_Loja_Despesa_CD_Sem_Compras
FROM [Receitas Realizadas] R
LEFT JOIN 
(
-- #################################
-- RECEITAS REALIZADAS TOTAL
-- #################################
SELECT R2.[Mes de Referencia] AS Mes
	, SUM(R2.[Venda Realizada]) AS Valor
FROM [Receitas Realizadas] R2
GROUP BY R2.[Mes de Referencia]
) T ON T.Mes = R.[Mes de Referencia]
LEFT JOIN 
(
-- #################################
-- DESPESAS DO CD
-- #################################
SELECT D.mes_referencia
	, SUM(D.valor_pago) AS Valor
FROM [Despesas Realizadas] D
WHERE D.codigo_empresa='2'
GROUP BY D.mes_referencia
) D2 ON D2.mes_referencia = R.[Mes de Referencia]
LEFT JOIN 
(
-- #################################
-- DESPESAS DO CD SEM COMPRAS
-- #################################
SELECT D.mes_referencia
	, SUM(D.valor_pago) AS Valor
FROM [Despesas Realizadas] D
WHERE D.codigo_empresa='2'
	AND D.cod_grupo_historico&lt;&gt;4
GROUP BY D.mes_referencia
) D3 ON D3.mes_referencia = R.[Mes de Referencia]
--WHERE R.[Codigo da Empresa]='18'
GROUP BY R.[Codigo da Empresa]
	, R.[Mes de Referencia]
	, T.Valor
	, D2.Valor
	, D3.Valor</t>
  </si>
  <si>
    <t>Contribuicao Despesas CD</t>
  </si>
  <si>
    <t>SELECT L.[Data do Lancamento]
	, L.[Codigo do Terminal]
	, L.[Codigo do Lancamento]
	, L.[Codigo da Filial]
	, L.Administradora
	, L.[Tipo Pagamento]
	, L.Parcelas
	, L.[Modalidade Pagamento]
	, L.[Nome da Filial]
	, L.Valor
	, L.[SK Cluster Pagamento]
	, L.[Modalidade Pagamento CST]
	, L.[Nome da Filial CST]
FROM [Pagamentos Loja Linx Principal] L
UNION ALL
SELECT T.Data_do_Lancamento
	, T.Codigo_do_Terminal
	, T.Codigo_do_Lancamento
	, T.Codigo_da_Filial_Microvix
	, T.Administradora
	, T.Tipo_Pagamento
	, T.Parcelas
	, T.Modalidade_Pagamento
	, ''
	, T.Valor
	, ''
	, ''
	, ''
FROM [Pagamentos Trinks] T</t>
  </si>
  <si>
    <t>Pagamentos Loja</t>
  </si>
  <si>
    <t>SELECT V.[Codigo do Cliente] AS IDCLIENTE, MAX(V.[Data da Venda]) DATA_ULTIMA_COMPRA, E.Nome AS NOME_LOJA
FROM [Vendas Linx Principal] V
LEFT JOIN [Empresas Linx Principal] E ON E.[Codigo da Empresa]=V.[Codigo da Empresa]
WHERE V.[Codigo do Cliente] IS NOT NULL
GROUP BY V.[Codigo do Cliente], E.Nome</t>
  </si>
  <si>
    <t>AuxClientesUltCompra Linx Principal</t>
  </si>
  <si>
    <t>SELECT * FROM (
SELECT V.[Codigo do Cliente] AS IDCLIENTE, V.[Data da Venda] AS DATA_ULTIMA_COMPRA, V.[Codigo do Vendedor] AS IDVENDEDOR, RankDesc(V.[Codigo do Cliente],V.[Data da Venda]) AS ROWNO
FROM [Vendas Linx Principal] V
) A
WHERE A.ROWNO=1
ORDER BY A.IDCLIENTE DESC</t>
  </si>
  <si>
    <t>AuxClientesUltVendedor Linx Principal</t>
  </si>
  <si>
    <t>select codigo_produto as Codigo_Produto, classe as Classe
from
    (
    select distinct vs.[codigo_produto], vs.[classe], vs.[data_inventario], RankDensedesc(vs.[codigo_produto], [classe], vs.[data_inventario]) rank
    from [vendas_saldos] vs
    ) UltClasse
where rank = 1</t>
  </si>
  <si>
    <t>ClasseProduto</t>
  </si>
  <si>
    <t>select 
TOSTRING(codigo_empresa)  + '|' + (TOSTRING(GETYEAR(ADDMONTHS(CURRENTDATE(), 1))) + '-' + TOSTRING(GETMONTH(ADDMONTHS(CURRENTDATE(), 1))) + '-01' ) + '|' + TOSTRING(cod_historico) as UID
, codigo_empresa as "Codigo Loja"
, TODATETIME(TOSTRING(GETYEAR(ADDMONTHS(CURRENTDATE(), 1))) + '-' + TOSTRING(GETMONTH(ADDMONTHS(CURRENTDATE(), 1))) + '-01' ) AS "Data"
, cod_historico as Codigo, nome_historico as Nome, nome_grupo_historico as Grupo, cod_grupo_historico as "Codigo Grupo"
, ROUND(avg(valor_fatura),2) as Meta
from [Despesas Realizadas] dr
    inner join [Historicos] h
    on dr.cod_historico = h.codigo
where 
    (dr.data_vencimento &gt;= ADDMONTHS(CURRENTDATE(), -6))
    and respgerente = 'S'
group by cod_historico, cod_grupo_historico, nome_grupo_historico, nome_historico, codigo_empresa</t>
  </si>
  <si>
    <t>DespesasMetasPadrao</t>
  </si>
  <si>
    <t>SELECT v.[Codigo do Cliente] AS "IDCLIENTE", 
		count(DISTINCT(v.[Codigo da Venda])) AS "FREQUENCIA"
FROM [Vendas Linx Principal] V
WHERE v.[Data da Venda] &gt; AddMonths(now(),-12)
GROUP BY v.[Codigo do Cliente]</t>
  </si>
  <si>
    <t>AuxClientesFrequencia Linx Principal</t>
  </si>
  <si>
    <t>SELECT 
	v.[Codigo do Cliente] AS "IDCLIENTE",  
	sum(v.[Valor da Venda Bruta Total])/count(DISTINCT(v.[Codigo da Venda])) AS "VALORMEDIO"
FROM [Vendas Linx Principal] v
WHERE v.[Data da Venda] &gt; AddMonths(now(),-12)
GROUP BY v.[Codigo do Cliente]</t>
  </si>
  <si>
    <t>AuxClientesValor Linx Principal</t>
  </si>
  <si>
    <t>SELECT V.[Codigo do Produto] AS IDPRODUTO
	, MIN(V.[Data da Venda]) DATA_PRIMEIRA_VENDA
	, MAX(V.[Data da Venda]) DATA_ULTIMA_VENDA
FROM [Vendas Linx Principal] V
GROUP BY V.[Codigo do Produto]</t>
  </si>
  <si>
    <t>AuxProdutosVenda Linx Principal</t>
  </si>
  <si>
    <t>SELECT * FROM "public"."contas_apagar"</t>
  </si>
  <si>
    <t>Despesas Realizadas</t>
  </si>
  <si>
    <t>SELECT P.[Mes de Referencia]
	, P.[Codigo da Empresa]
	, CAST(14 AS decimal) AS cod_grupo_historico
	, SUM(P.[Valor da Venda Liquida Total]) AS [Venda Realizada]
	, SUM(P.[Custo da Venda Total]) AS [CMV]
FROM [Vendas] P
WHERE P.[Sistema Origem]='MICROVIX'
GROUP BY P.[Mes de Referencia]
	, P.[Codigo da Empresa]
UNION ALL
SELECT S.[Mes de Referencia]
	, S.[Codigo da Empresa]
	, CAST(15 AS decimal) AS cod_grupo_historico
	, SUM(S.[Valor da Venda Liquida Total]) AS [Venda Realizada]
	, 0
FROM [Vendas] S
WHERE S.[Sistema Origem]='TRINKS'
GROUP BY S.[Mes de Referencia]
	, S.[Codigo da Empresa]</t>
  </si>
  <si>
    <t>Receitas Realizadas</t>
  </si>
  <si>
    <t>SELECT DISTINCT D.mes_referencia AS Data
FROM [Despesas Realizadas] D</t>
  </si>
  <si>
    <t>Datas Financeiro</t>
  </si>
  <si>
    <t>Lojas</t>
  </si>
  <si>
    <t>Historicos</t>
  </si>
  <si>
    <t>DespesasMetasLojas</t>
  </si>
  <si>
    <t>Grupos de Historicos</t>
  </si>
  <si>
    <t>Fornecedores Financeiro</t>
  </si>
  <si>
    <t>Resultado Realizado</t>
  </si>
  <si>
    <t>Despesas Orcadas</t>
  </si>
  <si>
    <t>Grupos_DRE_N2</t>
  </si>
  <si>
    <t>Grupos_DRE_N1</t>
  </si>
  <si>
    <t>Estoques</t>
  </si>
  <si>
    <t>Vendas</t>
  </si>
  <si>
    <t>Data das Transações</t>
  </si>
  <si>
    <t>Vendas 5 Anos</t>
  </si>
  <si>
    <t>Produtos</t>
  </si>
  <si>
    <t>Fornecedores</t>
  </si>
  <si>
    <t>Clientes</t>
  </si>
  <si>
    <t>Empresas</t>
  </si>
  <si>
    <t>Vendedores</t>
  </si>
  <si>
    <t>Depositos</t>
  </si>
  <si>
    <t>SELECT E1.[Codigo Microvix] AS "Codigo da Loja"
	, E1.[Nome Comum] AS "Nome"
	, E1.[Nome Comum] AS "Nome Reduzido"
	, E1.Cidade AS "Cidade"
	, E1.UF AS "UF"
	, 'BRAZIL' AS "Pais"
	, E1.Rede AS "Rede da Loja"
	, E1.Latitude AS "Latitude"
	, E1.Longitude AS "Longitude"
	, E1.Ativa AS "Ativa"
	, E1.Agrupamento AS "Agrupamento"
	, E1.[Supervisor Loja] AS "Supervisor Loja"
	, E1.[Supervisor Salao] AS "Supervisor Salao"
	, E1.[Area da Loja] AS "Area da Loja"
FROM [Cadastro Auxiliar de Lojas] E1
/*
SELECT 'MICROVIX-'+E1.[Codigo da Filial] AS "PK Empresas" 
	, 'MICROVIX' AS "Sistema Origem"
	, 'VENDA PRODUTOS' AS "Operacao"
	, E1.[Codigo da Filial]
	, E1.[Codigo da Loja]
	, E1.Nome
	, E1.[Nome Reduzido]
	, E1.[Data de Abertura]
	, E1.[Data de Fechamento]
	, E1.Regiao
	, E1.[Area da Loja]
	, E1.[Razao Social]
	, E1.Endereco
	, E1.Numero
	, E1.Complemento
	, E1.Bairro
	, E1.Cidade
	, E1.UF
	, E1.Pais
	, E1.CEP
	, E1.DDD1
	, E1.[Telefone 1]
	, E1.DDD2
	, E1.[Telefone 2]
	, E1.Email
	, E1.[Rede da Loja]
	, E1.Latitude
	, E1.Longitude
	, E1.Ativa
	, E1.[Tipo de Loja]
FROM [Empresas Linx Principal] E1
UNION ALL
SELECT 'TRINKS-'+TOSTRING(E1.Codigo)
	, 'TRINKS'
	, 'PRESTAÇÃO SERVIÇOS'
	, TOSTRING(E1.Codigo)
	, TOSTRING(E1.Codigo)
	, E1.Nome
	, CAST(NULL AS TEXT)
	, CAST(NULL AS DATETIME)
	, CAST(NULL AS DATETIME)
	, CAST(NULL AS TEXT)
	, CAST(0 AS INT)
	, CAST(NULL AS TEXT)
	, CAST(NULL AS TEXT)
	, CAST(NULL AS TEXT)
	, CAST(NULL AS TEXT)
	, CAST(NULL AS TEXT)
	, CAST(NULL AS TEXT)
	, CAST(NULL AS TEXT)
	, CAST(NULL AS TEXT)
	, CAST(NULL AS TEXT)
	, CAST(NULL AS TEXT)
	, CAST(NULL AS TEXT)
	, CAST(NULL AS TEXT)
	, CAST(NULL AS TEXT)
	, CAST(NULL AS TEXT)
	, CAST(NULL AS TEXT)
	, CAST(0 AS DECIMAL)
	, CAST(0 AS DECIMAL)
	, CAST(NULL AS TEXT)
	, CAST(NULL AS TEXT)
FROM [Empresas Trinks] E1
*/</t>
  </si>
  <si>
    <t>Excel Historicos</t>
  </si>
  <si>
    <t>Excel</t>
  </si>
  <si>
    <t>-- DESPESAS REALIZADAS
-- #################################
SELECT D.codigo_empresa
	, D.num_fatura
	, D.data_emissao
	, D.data_vencimento
	, D.data_baixa
	, D.valor_pago * -1 AS Valor
	, D.doc_excluido
	, D.doc_cancelado
	, D.cod_historico
	, D.mes_referencia
	, D.cod_grupo_historico
	, D.nome_grupo_historico
	, D.nome_historico
FROM [Despesas Realizadas] D
-- #################################
-- RECEITAS REALIZADAS
-- #################################
UNION ALL
SELECT R.[Codigo da Empresa]
	, 0
	, CAST(NULL AS DATETIME)
	, CAST(NULL AS DATETIME)
	, CAST(NULL AS DATETIME)
	, R.[Venda Realizada]
	, ''
	, ''
	, 0
	, R.[Mes de Referencia]
	, R.cod_grupo_historico
	, ''
	, ''
FROM [Receitas Realizadas] R
-- #################################
-- PERDAS (2% SOBRE A VENDA DE LOJA, SEM SALÃO)
-- #################################
UNION ALL
SELECT R.[Codigo da Empresa]
	, 0
	, CAST(NULL AS DATETIME)
	, CAST(NULL AS DATETIME)
	, CAST(NULL AS DATETIME)
	, R.[Venda Realizada] * -2/100
	, ''
	, ''
	, 0
	, R.[Mes de Referencia]
	, 19
	, ''
	, ''
FROM [Receitas Realizadas] R
WHERE R.cod_grupo_historico=14
-- #################################
-- TAXA ADM CARTÕES (1% SOBRE A VENDA DE LOJA+SALÃO)
-- #################################
UNION ALL
SELECT R.[Codigo da Empresa]
	, 0
	, CAST(NULL AS DATETIME)
	, CAST(NULL AS DATETIME)
	, CAST(NULL AS DATETIME)
	, R.[Venda Realizada] * -1/100
	, ''
	, ''
	, 0
	, R.[Mes de Referencia]
	, 20
	, ''
	, ''
FROM [Receitas Realizadas] R
-- #################################
-- RATEIO DESPESAS CD
-- #################################
UNION ALL
SELECT C.[Codigo da Empresa]
	, 0
	, CAST(NULL AS DATETIME)
	, CAST(NULL AS DATETIME)
	, CAST(NULL AS DATETIME)
	, C.Contrib_Loja_Despesa_CD * -1 AS Valor
	, ''
	, ''
	, 0
	, C.Mes
	, 21
	, ''
	, ''
FROM [Contribuicao Despesas CD] C
-- #################################
-- RATEIO DESPESAS CD SEM COMPRAS
-- #################################
UNION ALL
SELECT C.[Codigo da Empresa]
	, 0
	, CAST(NULL AS DATETIME)
	, CAST(NULL AS DATETIME)
	, CAST(NULL AS DATETIME)
	, C.Contrib_Loja_Despesa_CD_Sem_Compras * -1 AS Valor
	, ''
	, ''
	, 0
	, C.Mes
	, 24
	, ''
	, ''
FROM [Contribuicao Despesas CD] C
-- #################################
-- CUSTO SERVIÇOS (FIXO EM 66.3%)
-- #################################
UNION ALL
SELECT R.[Codigo da Empresa]
	, 0
	, CAST(NULL AS DATETIME)
	, CAST(NULL AS DATETIME)
	, CAST(NULL AS DATETIME)
	, R.[Venda Realizada] * -66.30/100
	, ''
	, ''
	, 0
	, R.[Mes de Referencia]
	, 22
	, ''
	, ''
FROM [Receitas Realizadas] R
WHERE R.cod_grupo_historico=15
-- #################################
-- CUSTO MERCADORIAS VENDIDAS
-- #################################
UNION ALL
SELECT R.[Codigo da Empresa]
	, 0
	, CAST(NULL AS DATETIME)
	, CAST(NULL AS DATETIME)
	, CAST(NULL AS DATETIME)
	, R.CMV * -1
	, ''
	, ''
	, 0
	, R.[Mes de Referencia]
	, 23
	, ''
	, ''
FROM [Receitas Realizadas] R
WHERE R.cod_grupo_historico=14</t>
  </si>
  <si>
    <t>SELECT V.[Mes de Referencia]
	, V.[Codigo da Empresa]
	, O.nomedogrupo AS [Nome do Grupo]
	, O.codigodogrupo AS [Codigo do Grupo]
	, SUM(V.[Valor da Venda Liquida Total]) AS [Venda Realizada]
	, O.percentualsobrefat AS [Percentual Orcamento]
	, SUM(V.[Valor da Venda Liquida Total]) * O.percentualsobrefat/100 AS [Valor Orcamento]
FROM
(
SELECT P.[Mes de Referencia]
	, P.[Codigo da Empresa]
	, SUM(P.[Valor da Venda Liquida Total]) AS "Valor da Venda Liquida Total"
FROM [Vendas] P
WHERE P.[Sistema Origem]='MICROVIX'
GROUP BY P.[Mes de Referencia]
	, P.[Codigo da Empresa]
UNION ALL
SELECT S.[Mes de Referencia]
	, S.[Codigo da Empresa]
	, SUM(S.[Valor da Venda Liquida Total]) - SUM(S.[Custo da Venda Total])
FROM [Vendas] S
WHERE S.[Sistema Origem]='TRINKS'
GROUP BY S.[Mes de Referencia]
	, S.[Codigo da Empresa]
) V
CROSS JOIN [Orcamento por Grupo] O
GROUP BY V.[Mes de Referencia]
	, V.[Codigo da Empresa]
	, O.nomedogrupo
	, O.percentualsobrefat
	, O.codigodogrupo</t>
  </si>
  <si>
    <t>SELECT 'MICROVIX' + '||' + '-1' AS "FK Clientes" 
	, 'MICROVIX' + '||' + '-1' AS "FK Vendedores" 
	, E1.[Codigo da Empresa] AS "FK Empresas" 
	, Coalesce(E1.[Codigo do Deposito],'0') AS "FK Depositos"
	, 'MICROVIX' + '||' + E1.[Codigo do Produto] AS "FK Produtos" 
	, 'MICROVIX' AS "Sistema Origem"
	, 'VENDA PRODUTOS' AS "Operacao"
	, E1.[Codigo do Produto]
	, E1.[Codigo da Empresa]
	, E1.[Data Ultima Saida]
	, E1.[Data Ultima Entrada]
	, E1.[Data Primeira Entrada]
	, E1.[Ultimo Custo]
	, E1.Quantidade
	, E1.[Dias Desde Ultima Saida]
	, E1.[Dias Desde Ultima Entrada]
	, E1.[Idade do Estoque]
	, E1.[Dias Desde Primeira Entrada]
FROM [Estoques Linx Principal] E1</t>
  </si>
  <si>
    <t>SELECT L.[Codigo da Empresa]
	, L.[Codigo da Venda]
	, L.[Serie da Venda]
	, L.[Codigo do Cliente]
	, L.[Codigo do Vendedor]
--	, L.[Data da Venda]
	, CreateDate(GetYear(L.[Data da Venda]),GetMonth(L.[Data da Venda]),GetDay(L.[Data da Venda])) AS [Data da Venda]
	, L.[Valor da Venda Bruta Total]
	, L.[Valor em Vale-Troca Total]
	, L.[Valor da Venda Liquida Total]
	, L.[Quantidade Venda Bruta Total]
	, L.[Quantidade Troca Total]
	, L.[Quantidade Venda Liquida Total]
	, L.[Custo da Venda Total]
	, L.[Custo de Troca Total]
	, L.Frete
	, L.[Codigo do Produto]
	, L.[Quantidade Venda Itens]
	, L.[Valor da Venda Itens]
	, L.[Custo da Venda Itens]
	, L.[Quantidade Troca Itens]
	, L.[Valor de Troca Itens]
	, L.[Custo de Troca Itens]
	, L.Hora
	, L.[Quantidade Venda Liquida Itens]
	, L.[Valor da Venda Liquida Itens]
	, L.[Custo da Venda Liquida Itens]
	, L.[UK Venda]
	, L.[Faixa de Valor]
	, L.[Mes de Referencia]
	, L.[FK Cliente]
	, L.[FK Vendedores]
	, L.[FK Empresas]
	, L.[FK Produtos]
	, L.[Sistema Origem]
	, L.Operacao
	, L.[Desconto Total]
FROM [Vendas Linx Principal] L
UNION ALL
SELECT T.Codigo_da_Empresa_Microvix
	, T.Codigo_da_Venda
	, T.Serie
	, T.Codigo_do_Cliente
	, T.Codigo_do_Profissional
--	, T.[Data]
	, CreateDate(GetYear(T.[Data]),GetMonth(T.[Data]),GetDay(T.[Data]))
	, T.Valor_Faturado_Bruto
	, 0
	, T.Valor_Faturado_Bruto
	, T.Quantidade_Venda_Itens
	, 0
	, T.Quantidade_Venda_Itens
	, T.Comissao_Total
	, 0
	, 0
	, T.Codigo_do_Servico
	, T.Quantidade_Venda_Itens
	, T.Valor_Faturado_Bruto
	, T.Comissao_Total
	, 0
	, 0
	, 0
	, T.Hora
	, T.[Quantidade Venda Liquida Itens]
	, T.[Valor da Venda Liquida Itens]
	, T.[Custo da Venda Liquida Itens]
	, T.[UK Venda]
	, T.[Faixa de Valor]
	, T.[Mes de Referencia]
	, T.[FK Cliente]
	, T.[FK Vendedores]
	, T.[FK Empresas]
	, T.[FK Produtos]
	, T.[Sistema Origem]
	, T.Operacao
	, T.Valor_Total_Desconto
FROM [Vendas Trinks] T</t>
  </si>
  <si>
    <t>SELECT DISTINCT t.Data AS "Data"
	, AddDays(t.Data,-364) AS "Data Ano Anterior"
	, CASE WHEN getmonth(t.[Data]) &lt; getmonth(now()) THEN 'Sim'
			WHEN getmonth(t.[Data]) = getmonth(now()) AND getday(t.[Data]) &lt; getday(now()) THEN 'Sim'
			ELSE 'Não' END AS YTD
	, CASE WHEN getmonth(t.[Data]) &lt; getmonth(now()) THEN 'Sim'
			WHEN getmonth(t.[Data]) = getmonth(now()) AND getday(t.[Data]) &lt;= getday(now()) THEN 'Sim'
			ELSE 'Não' END AS YTT
	, CASE 
		WHEN DayOfWeek(t.[Data])=1 THEN '01-Segunda-Feira'
		WHEN DayOfWeek(t.[Data])=2 THEN '02-Terça-Feira'
		WHEN DayOfWeek(t.[Data])=3 THEN '03-Quarta-Feira'
		WHEN DayOfWeek(t.[Data])=4 THEN '04-Quinta-Feira'
		WHEN DayOfWeek(t.[Data])=5 THEN '05-Sexta-Feira'
		WHEN DayOfWeek(t.[Data])=6 THEN '06-Sábado'
		WHEN DayOfWeek(t.[Data])=7 THEN '07-Domingo'
		END AS "Dia da Semana"
FROM
	(
	SELECT CreateDate(GetYear(t1.[Data da Venda]),GetMonth(t1.[Data da Venda]),GetDay(t1.[Data da Venda])) AS Data
	FROM [Vendas] t1
	UNION
	SELECT CreateDate(GetYear(t2.[Data da Venda]),GetMonth(t2.[Data da Venda]),GetDay(t2.[Data da Venda]))
	FROM [Vendas 5 Anos Linx Principal] t2
	UNION 
	SELECT createdate(getyear(now()),getmonth(now()),getday(now()))
	)  t
--ORDER BY t.[Data] DESC</t>
  </si>
  <si>
    <t>SELECT * FROM [Vendas 5 Anos Linx Principal]
--where 'Data da Venda RAW' like '%/2021%'</t>
  </si>
  <si>
    <t xml:space="preserve">
SELECT 'MICROVIX' + '||' + P1.Codigo AS "PK Produtos" 
	, 'MICROVIX' + '||' + P1.Fabricante AS "FK Fabricante" 
	, 'MICROVIX' AS "Sistema Origem"
	, P1.Codigo
	, P1.Nome
	, P1.Grupo
	, P1.Subgrupo
	, P1.Colecao
	, P1.Fabricante
	, P1.Marca
	, P1.Linha
	, P1.[Ultimo Custo]
	, P1.[Data Primeira Venda]
	, P1.[Dias Desde Primeira Venda]
	, P1.[Codigo e Nome]
	, CASE WHEN TRIM(CP.[Classe])=NULL THEN 'N/A'
	       WHEN TRIM(CP.[Classe])=''  THEN 'N/A'
	       ELSE CP.[Classe] END Classe
	, CASE WHEN TRIM(P1.[codigo_comprador])=NULL THEN '0'
	       WHEN TRIM(P1.[codigo_comprador])=''   THEN '0'
	       ELSE P1.[codigo_comprador] END Codigo_Comprador     
	, CASE WHEN TRIM(U.[usuario])=NULL THEN 'N/A'
	       WHEN TRIM(U.[usuario])=''   THEN 'N/A'
	       ELSE U.[usuario] END Nome_Comprador
    ,P1.[codigo_barras]
FROM [Produtos Linx Principal] P1 LEFT JOIN ClasseProduto CP ON CP.[Codigo_Produto]=P1.[Codigo]
                                  LEFT JOIN [usuarios] U ON U.[codigo]=P1.[codigo_comprador]
UNION ALL
SELECT 'TRINKS' + '||' + T.Codigo
	, 'TRINKS' + '||' + 'GENERICO'
	, 'TRINKS'
	, T.Codigo
	, T.Descricao
	, T.Grupo
	, T.Subgrupo
	, ''
	, ''
	, ''
	, ''
	, 0
	, CAST(NULL AS DATETIME)
	, 0
	, ''
	,'N/A' AS Classe
	,'0'   AS Codigo_Comprador
	,'N/A' AS Nome_Comprador
	,'0' AS codigo_barras
FROM [Produtos Trinks] T</t>
  </si>
  <si>
    <t>SELECT 'MICROVIX' + '||' + F.Codigo AS "PK Fabricante" 
	, 'MICROVIX' AS "Sistema Origem"
	, F.* 
FROM [Fornecedores Linx Principal] F</t>
  </si>
  <si>
    <t>SELECT 'MICROVIX' + '||' + C1.Codigo AS "PK Clientes"
	, 'MICROVIX' AS "Sistema Origem"
	, C1.Codigo
	, C1.Nome
	, C1.Sexo
	, C1.Cidade
	, C1.UF
	, C1.Pais
	, C1.DDD
	, C1.Fone
	, C1.[DDD Celular]
	, C1.Celular
	, C1.Email
	, C1.[Data de Cadastro]
	, C1.[Data de Nascimento]
	, C1.[Codigo do Tipo]
	, C1.[Filial de Cadastro]
	, C1.Idade
	, C1.[Faixa Etaria]
	, C1.[Data Ultima Compra]
	, C1.[Loja Ultima Compra]
	, C1.Recencia
	, C1.Frequencia
	, C1.[Faixa de Recencia]
	, C1.[Faixa de Frequencia]
	, C1.[Valor Medio]
	, C1.Tipo
	, C1.Genero
	, C1.Atividade
	, C1.[Score RFV]
	, C1.[Mes de Aniversario]
	, C1.[Dia de Aniversario]
	, C1.[Email Informado]
	, C1.[Fone Informado]
	, C1.[Celular Informado]
	, C1.[Nome e Sobrenome Informado]
	, C1.[Endereco Informado]
FROM [Clientes Linx Principal] C1
UNION ALL
SELECT 'TRINKS' + '||' + C2.Codigo AS "PK Clientes"
	, 'TRINKS' AS "Sistema Origem"
	, C2.Codigo
	, C2.Nome
	, C2.Sexo
	, C2.Cidade
	, C2.UF
	, C2.Pais
	, C2.DDD
	, C2.Fone
	, TOSTRING(C2.DDD_Celular)
	, TOSTRING(C2.Celular)
	, C2.Email
	, C2.Data_de_Cadastro
	, C2.Data_de_Nascimento
	, '' --C2.[Codigo do Tipo]
	, C2.Filial_de_Cadastro_Microvix
	, 0 --C2.Idade
	, '' --C2.[Faixa Etaria]
	, CAST(NULL AS DATETIME) --C2.[Data Ultima Compra]
	, '' --C2.[Loja Ultima Compra]
	, 0 --C2.Recencia
	, 0 --C2.Frequencia
	, '' --C2.[Faixa de Recencia]
	, '' --C2.[Faixa de Frequencia]
	, 0 --C2.[Valor Medio]
	, '' --C2.Tipo
	, '' --C2.Genero
	, '' --C2.Atividade
	, 0 --C2.[Score RFV]
	, 0 --C2.[Mes de Aniversario]
	, 0 --C2.[Dia de Aniversario]
	, '' --C2.[Email Informado]
	, '' --C2.[Fone Informado]
	, '' --C2.[Celular Informado]
	, '' --C2.[Nome e Sobrenome Informado]
	, '' --C2.[Endereco Informado]
FROM [Clientes Trinks] C2</t>
  </si>
  <si>
    <t>SELECT E1.[Codigo Microvix] AS "PK Empresas" 
	, E1.[Codigo Microvix] AS "Codigo da Filial"
	, E1.[Codigo Microvix] AS "Codigo da Loja"
	, E1.[Nome Comum] AS "Nome"
	, E1.[Nome Comum] AS "Nome Reduzido"
	, E1.Cidade AS "Cidade"
	, E1.UF AS "UF"
	, 'BRAZIL' AS "Pais"
	, E1.Rede AS "Rede da Loja"
	, E1.Latitude AS "Latitude"
	, E1.Longitude AS "Longitude"
	, E1.Ativa AS "Ativa"
	, E1.Agrupamento AS "Agrupamento"
	, E1.[Supervisor Loja] AS "Supervisor Loja"
	, E1.[Supervisor Salao] AS "Supervisor Salao"
	, E1.[Area da Loja] AS "Area da Loja"
FROM [Cadastro Auxiliar de Lojas] E1
/*
SELECT 'MICROVIX-'+E1.[Codigo da Filial] AS "PK Empresas" 
	, 'MICROVIX' AS "Sistema Origem"
	, 'VENDA PRODUTOS' AS "Operacao"
	, E1.[Codigo da Filial]
	, E1.[Codigo da Loja]
	, E1.Nome
	, E1.[Nome Reduzido]
	, E1.[Data de Abertura]
	, E1.[Data de Fechamento]
	, E1.Regiao
	, E1.[Area da Loja]
	, E1.[Razao Social]
	, E1.Endereco
	, E1.Numero
	, E1.Complemento
	, E1.Bairro
	, E1.Cidade
	, E1.UF
	, E1.Pais
	, E1.CEP
	, E1.DDD1
	, E1.[Telefone 1]
	, E1.DDD2
	, E1.[Telefone 2]
	, E1.Email
	, E1.[Rede da Loja]
	, E1.Latitude
	, E1.Longitude
	, E1.Ativa
	, E1.[Tipo de Loja]
FROM [Empresas Linx Principal] E1
UNION ALL
SELECT 'TRINKS-'+TOSTRING(E1.Codigo)
	, 'TRINKS'
	, 'PRESTAÇÃO SERVIÇOS'
	, TOSTRING(E1.Codigo)
	, TOSTRING(E1.Codigo)
	, E1.Nome
	, CAST(NULL AS TEXT)
	, CAST(NULL AS DATETIME)
	, CAST(NULL AS DATETIME)
	, CAST(NULL AS TEXT)
	, CAST(0 AS INT)
	, CAST(NULL AS TEXT)
	, CAST(NULL AS TEXT)
	, CAST(NULL AS TEXT)
	, CAST(NULL AS TEXT)
	, CAST(NULL AS TEXT)
	, CAST(NULL AS TEXT)
	, CAST(NULL AS TEXT)
	, CAST(NULL AS TEXT)
	, CAST(NULL AS TEXT)
	, CAST(NULL AS TEXT)
	, CAST(NULL AS TEXT)
	, CAST(NULL AS TEXT)
	, CAST(NULL AS TEXT)
	, CAST(NULL AS TEXT)
	, CAST(NULL AS TEXT)
	, CAST(0 AS DECIMAL)
	, CAST(0 AS DECIMAL)
	, CAST(NULL AS TEXT)
	, CAST(NULL AS TEXT)
FROM [Empresas Trinks] E1
*/</t>
  </si>
  <si>
    <t>SELECT 'MICROVIX' + '||' + V1.Codigo AS "PK Vendedores"
	, 'MICROVIX' AS "Sistema Origem"
	, V1.Codigo
--	, V1.[Codigo da Empresa]
	, V1.Nome
--	, V1.Cidade
--	, V1.UF
--	, V1.[Data de Cadastro]
FROM [Vendedores Linx Principal] V1
UNION ALL
SELECT 'TRINKS' + '||' + V1.Codigo
	, 'TRINKS'
	, V1.Codigo
--	, v1.[Codigo da Empresa]
	, V1.Nome
--	, V1.Cidade
--	, V1.UF
--	, V1.[Data de Cadastro]
FROM [Profissionais Trinks] V1</t>
  </si>
  <si>
    <t>select  d.[codigo_deposito] AS "FK Depositos", 
        d.[nome_deposito] AS "Deposito"
from [depositos_Linx] d
union
select '0' AS "FK Depositos", 
       'N/A' AS "Deposito"</t>
  </si>
  <si>
    <t>vendas</t>
  </si>
  <si>
    <t xml:space="preserve"> PUBLIC.vendas, 
itens_vendas</t>
  </si>
  <si>
    <t>PUBLIC.vendas, itens_trocas</t>
  </si>
  <si>
    <t>public.Usuarios</t>
  </si>
  <si>
    <t>public.Depositos</t>
  </si>
  <si>
    <t>PAGAMENTOS</t>
  </si>
  <si>
    <t>public.vendas_saldos</t>
  </si>
  <si>
    <t>public.fornecedores</t>
  </si>
  <si>
    <t>public.vendas</t>
  </si>
  <si>
    <t>public.vendedores</t>
  </si>
  <si>
    <t>public.estoques</t>
  </si>
  <si>
    <t>public.empresas</t>
  </si>
  <si>
    <t>public.clientes</t>
  </si>
  <si>
    <t>public.produtos, public.usuarios</t>
  </si>
  <si>
    <t>{Vendas Linx Principal 2021}, {items vendas 2021}, {itens trocas 2021}, {aux_vendas_linx_2020_2021}</t>
  </si>
  <si>
    <t>{Estoques Linx Principal}</t>
  </si>
  <si>
    <t>{Vendas Linx Principal}</t>
  </si>
  <si>
    <t>{Receitas Realizadas}, {Despesas Realizadas}</t>
  </si>
  <si>
    <t xml:space="preserve"> {Pagamentos Loja Linx Principal}, {Pagamentos Trinks}</t>
  </si>
  <si>
    <t xml:space="preserve"> {Vendas Linx Principal}, {Empresas Linx Principal}</t>
  </si>
  <si>
    <t xml:space="preserve"> {Vendas Linx Principal}</t>
  </si>
  <si>
    <t xml:space="preserve"> {vendas_saldos}</t>
  </si>
  <si>
    <t xml:space="preserve"> {Despesas Realizadas}, {Historicos}</t>
  </si>
  <si>
    <t>public.contas_apagar</t>
  </si>
  <si>
    <t>{Vendas}</t>
  </si>
  <si>
    <t>{Despesas Realizadas}</t>
  </si>
  <si>
    <t xml:space="preserve"> {Cadastro Auxiliar de Lojas}, {Empresas Linx Principal}, {Empresas Trinks}</t>
  </si>
  <si>
    <t xml:space="preserve"> {Despesas Realizadas}, {Receitas Realizadas}, {Contribuicao Despesas CD}</t>
  </si>
  <si>
    <t xml:space="preserve"> {Vendas}, {Orcamento por Grupo}</t>
  </si>
  <si>
    <t xml:space="preserve"> {Estoques Linx Principal}</t>
  </si>
  <si>
    <t xml:space="preserve"> {Vendas Linx Principal}, {Vendas Trinks}</t>
  </si>
  <si>
    <t xml:space="preserve"> {Vendas}, {Vendas 5 Anos Linx Principal}</t>
  </si>
  <si>
    <t xml:space="preserve"> {Vendas 5 Anos Linx Principal}</t>
  </si>
  <si>
    <t xml:space="preserve"> {Produtos Linx Principal}, {usuarios}, {Produtos Trinks}</t>
  </si>
  <si>
    <t xml:space="preserve"> {Fornecedores Linx Principal}</t>
  </si>
  <si>
    <t xml:space="preserve"> {Clientes Linx Principal},{Clientes Trinks}</t>
  </si>
  <si>
    <t xml:space="preserve"> {Cadastro Auxiliar de Lojas}</t>
  </si>
  <si>
    <t>{Vendedores Linx Principal},{Profissionais Trinks}</t>
  </si>
  <si>
    <t>{depositos_Linx}</t>
  </si>
  <si>
    <t>1. Tabelas da Camada Raw</t>
  </si>
  <si>
    <t>Essas tabelas são as fontes de dados originais. Elas não dependem de nenhuma outra tabela e devem ser carregadas primeiro.</t>
  </si>
  <si>
    <t>Cadastro Auxiliar de Lojas</t>
  </si>
  <si>
    <t>Empresas Trinks</t>
  </si>
  <si>
    <t>Pagamentos Trinks</t>
  </si>
  <si>
    <t>Produtos Trinks</t>
  </si>
  <si>
    <t>Clientes Trinks</t>
  </si>
  <si>
    <t>Profissionais Trinks</t>
  </si>
  <si>
    <t>Orcamento por Grupo</t>
  </si>
  <si>
    <t>2. Tabelas da Camada Staging</t>
  </si>
  <si>
    <r>
      <t xml:space="preserve">Essas tabelas dependem diretamente das tabelas da camada </t>
    </r>
    <r>
      <rPr>
        <b/>
        <sz val="11"/>
        <color theme="1"/>
        <rFont val="Aptos Narrow"/>
        <family val="2"/>
        <scheme val="minor"/>
      </rPr>
      <t>Raw</t>
    </r>
    <r>
      <rPr>
        <sz val="11"/>
        <color theme="1"/>
        <rFont val="Aptos Narrow"/>
        <family val="2"/>
        <scheme val="minor"/>
      </rPr>
      <t>. Elas podem ser processadas assim que as tabelas Raw correspondentes estiverem carregadas. A ordem entre elas não é estritamente necessária, já que não dependem umas das outras.</t>
    </r>
  </si>
  <si>
    <t>3. Tabelas da Camada Curated</t>
  </si>
  <si>
    <r>
      <t xml:space="preserve">Esta é a camada final. As tabelas aqui dependem das camadas </t>
    </r>
    <r>
      <rPr>
        <b/>
        <sz val="11"/>
        <color theme="1"/>
        <rFont val="Aptos Narrow"/>
        <family val="2"/>
        <scheme val="minor"/>
      </rPr>
      <t>Raw</t>
    </r>
    <r>
      <rPr>
        <sz val="11"/>
        <color theme="1"/>
        <rFont val="Aptos Narrow"/>
        <family val="2"/>
        <scheme val="minor"/>
      </rPr>
      <t xml:space="preserve"> e </t>
    </r>
    <r>
      <rPr>
        <b/>
        <sz val="11"/>
        <color theme="1"/>
        <rFont val="Aptos Narrow"/>
        <family val="2"/>
        <scheme val="minor"/>
      </rPr>
      <t>Staging</t>
    </r>
    <r>
      <rPr>
        <sz val="11"/>
        <color theme="1"/>
        <rFont val="Aptos Narrow"/>
        <family val="2"/>
        <scheme val="minor"/>
      </rPr>
      <t>. A ordem de execução é muito importante.</t>
    </r>
  </si>
  <si>
    <t>Grupo 1: Tabelas com dependências diretas de Raw e Staging</t>
  </si>
  <si>
    <t>Grupo 2: Tabelas com dependências de outras tabelas Curated</t>
  </si>
  <si>
    <r>
      <t>Receitas Realizadas</t>
    </r>
    <r>
      <rPr>
        <sz val="11"/>
        <color theme="1"/>
        <rFont val="Aptos Narrow"/>
        <family val="2"/>
        <scheme val="minor"/>
      </rPr>
      <t xml:space="preserve"> (depende de </t>
    </r>
    <r>
      <rPr>
        <sz val="10"/>
        <color theme="1"/>
        <rFont val="Arial Unicode MS"/>
      </rPr>
      <t>Vendas</t>
    </r>
    <r>
      <rPr>
        <sz val="11"/>
        <color theme="1"/>
        <rFont val="Aptos Narrow"/>
        <family val="2"/>
        <scheme val="minor"/>
      </rPr>
      <t>)</t>
    </r>
  </si>
  <si>
    <r>
      <t>Datas Financeiro</t>
    </r>
    <r>
      <rPr>
        <sz val="11"/>
        <color theme="1"/>
        <rFont val="Aptos Narrow"/>
        <family val="2"/>
        <scheme val="minor"/>
      </rPr>
      <t xml:space="preserve"> (depende de </t>
    </r>
    <r>
      <rPr>
        <sz val="10"/>
        <color theme="1"/>
        <rFont val="Arial Unicode MS"/>
      </rPr>
      <t>Despesas Realizadas</t>
    </r>
    <r>
      <rPr>
        <sz val="11"/>
        <color theme="1"/>
        <rFont val="Aptos Narrow"/>
        <family val="2"/>
        <scheme val="minor"/>
      </rPr>
      <t>)</t>
    </r>
  </si>
  <si>
    <r>
      <t>Data das Transações</t>
    </r>
    <r>
      <rPr>
        <sz val="11"/>
        <color theme="1"/>
        <rFont val="Aptos Narrow"/>
        <family val="2"/>
        <scheme val="minor"/>
      </rPr>
      <t xml:space="preserve"> (depende de </t>
    </r>
    <r>
      <rPr>
        <sz val="10"/>
        <color theme="1"/>
        <rFont val="Arial Unicode MS"/>
      </rPr>
      <t>Vendas</t>
    </r>
    <r>
      <rPr>
        <sz val="11"/>
        <color theme="1"/>
        <rFont val="Aptos Narrow"/>
        <family val="2"/>
        <scheme val="minor"/>
      </rPr>
      <t xml:space="preserve"> e </t>
    </r>
    <r>
      <rPr>
        <sz val="10"/>
        <color theme="1"/>
        <rFont val="Arial Unicode MS"/>
      </rPr>
      <t>Vendas 5 Anos</t>
    </r>
    <r>
      <rPr>
        <sz val="11"/>
        <color theme="1"/>
        <rFont val="Aptos Narrow"/>
        <family val="2"/>
        <scheme val="minor"/>
      </rPr>
      <t>)</t>
    </r>
  </si>
  <si>
    <r>
      <t>Despesas Orcadas</t>
    </r>
    <r>
      <rPr>
        <sz val="11"/>
        <color theme="1"/>
        <rFont val="Aptos Narrow"/>
        <family val="2"/>
        <scheme val="minor"/>
      </rPr>
      <t xml:space="preserve"> (depende de </t>
    </r>
    <r>
      <rPr>
        <sz val="10"/>
        <color theme="1"/>
        <rFont val="Arial Unicode MS"/>
      </rPr>
      <t>Vendas</t>
    </r>
    <r>
      <rPr>
        <sz val="11"/>
        <color theme="1"/>
        <rFont val="Aptos Narrow"/>
        <family val="2"/>
        <scheme val="minor"/>
      </rPr>
      <t>)</t>
    </r>
  </si>
  <si>
    <r>
      <t>Resultado Realizado</t>
    </r>
    <r>
      <rPr>
        <sz val="11"/>
        <color theme="1"/>
        <rFont val="Aptos Narrow"/>
        <family val="2"/>
        <scheme val="minor"/>
      </rPr>
      <t xml:space="preserve"> (depende de </t>
    </r>
    <r>
      <rPr>
        <sz val="10"/>
        <color theme="1"/>
        <rFont val="Arial Unicode MS"/>
      </rPr>
      <t>Despesas Realizadas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Receitas Realizadas</t>
    </r>
    <r>
      <rPr>
        <sz val="11"/>
        <color theme="1"/>
        <rFont val="Aptos Narrow"/>
        <family val="2"/>
        <scheme val="minor"/>
      </rPr>
      <t xml:space="preserve"> e </t>
    </r>
    <r>
      <rPr>
        <sz val="10"/>
        <color theme="1"/>
        <rFont val="Arial Unicode MS"/>
      </rPr>
      <t>Contribuicao Despesas CD</t>
    </r>
    <r>
      <rPr>
        <sz val="11"/>
        <color theme="1"/>
        <rFont val="Aptos Narrow"/>
        <family val="2"/>
        <scheme val="minor"/>
      </rPr>
      <t>)</t>
    </r>
  </si>
  <si>
    <t>Curated</t>
  </si>
  <si>
    <t>staging</t>
  </si>
  <si>
    <t>raw</t>
  </si>
  <si>
    <t>Camada</t>
  </si>
  <si>
    <t>ordem</t>
  </si>
  <si>
    <t>Primary Key</t>
  </si>
  <si>
    <t>codigo</t>
  </si>
  <si>
    <t>codigo_filial</t>
  </si>
  <si>
    <t>Sql criado porém depende da Vendas linx principal</t>
  </si>
  <si>
    <t>Falta ver de onde vem a tabela [aux_vendas_linx_2020_2021]</t>
  </si>
  <si>
    <t>a</t>
  </si>
  <si>
    <t>sql criado</t>
  </si>
  <si>
    <t>Ordem (Tier)</t>
  </si>
  <si>
    <t>Tabela de Destino</t>
  </si>
  <si>
    <t>Pode ser Paralelizada?</t>
  </si>
  <si>
    <t>Sim (com o Tier 1)</t>
  </si>
  <si>
    <t>Sim (com o Tier 2)</t>
  </si>
  <si>
    <t>Tabela de Destino (Staging)</t>
  </si>
  <si>
    <t>Dependência (Camada Raw)</t>
  </si>
  <si>
    <t>clientes</t>
  </si>
  <si>
    <t>Sim</t>
  </si>
  <si>
    <t>depositos</t>
  </si>
  <si>
    <t>empresas</t>
  </si>
  <si>
    <t>estoques</t>
  </si>
  <si>
    <t>fornecedores</t>
  </si>
  <si>
    <r>
      <t>pagamentos</t>
    </r>
    <r>
      <rPr>
        <sz val="11"/>
        <color rgb="FF1F1F1F"/>
        <rFont val="Arial"/>
        <family val="2"/>
      </rPr>
      <t>*</t>
    </r>
  </si>
  <si>
    <t>vendedores</t>
  </si>
  <si>
    <r>
      <t>vendas</t>
    </r>
    <r>
      <rPr>
        <sz val="11"/>
        <color rgb="FF1F1F1F"/>
        <rFont val="Arial"/>
        <family val="2"/>
      </rPr>
      <t xml:space="preserve"> e </t>
    </r>
    <r>
      <rPr>
        <sz val="10"/>
        <color rgb="FF444746"/>
        <rFont val="Google Sans Text"/>
        <family val="2"/>
      </rPr>
      <t>itens_vendas</t>
    </r>
  </si>
  <si>
    <t>Sim (Pois você já tem ambas na Raw)</t>
  </si>
  <si>
    <r>
      <t>vendas</t>
    </r>
    <r>
      <rPr>
        <sz val="11"/>
        <color rgb="FF1F1F1F"/>
        <rFont val="Arial"/>
        <family val="2"/>
      </rPr>
      <t xml:space="preserve"> e </t>
    </r>
    <r>
      <rPr>
        <sz val="10"/>
        <color rgb="FF444746"/>
        <rFont val="Google Sans Text"/>
        <family val="2"/>
      </rPr>
      <t>itens_trocas</t>
    </r>
  </si>
  <si>
    <r>
      <t xml:space="preserve">Apenas após </t>
    </r>
    <r>
      <rPr>
        <b/>
        <sz val="10"/>
        <color rgb="FF444746"/>
        <rFont val="Google Sans Text"/>
        <family val="2"/>
      </rPr>
      <t>usuarios</t>
    </r>
    <r>
      <rPr>
        <b/>
        <sz val="11"/>
        <color rgb="FF1F1F1F"/>
        <rFont val="Arial"/>
        <family val="2"/>
      </rPr>
      <t xml:space="preserve"> (Stg)</t>
    </r>
  </si>
  <si>
    <r>
      <t>usuarios</t>
    </r>
    <r>
      <rPr>
        <sz val="11"/>
        <color rgb="FF1F1F1F"/>
        <rFont val="Arial"/>
        <family val="2"/>
      </rPr>
      <t xml:space="preserve"> (raw) e </t>
    </r>
    <r>
      <rPr>
        <sz val="10"/>
        <color rgb="FF444746"/>
        <rFont val="Google Sans Text"/>
        <family val="2"/>
      </rPr>
      <t>produtos</t>
    </r>
    <r>
      <rPr>
        <sz val="11"/>
        <color rgb="FF1F1F1F"/>
        <rFont val="Arial"/>
        <family val="2"/>
      </rPr>
      <t xml:space="preserve"> (Raw)</t>
    </r>
  </si>
  <si>
    <t>gold:</t>
  </si>
  <si>
    <t>Tabela de Destino (Gold)</t>
  </si>
  <si>
    <t>Dependência Direta (O que deve terminar antes)</t>
  </si>
  <si>
    <t>Sim (com o Tier 1 Gold)</t>
  </si>
  <si>
    <r>
      <t>Estoques Linx Principal</t>
    </r>
    <r>
      <rPr>
        <sz val="11"/>
        <color rgb="FF1F1F1F"/>
        <rFont val="Arial"/>
        <family val="2"/>
      </rPr>
      <t xml:space="preserve"> (Staging)</t>
    </r>
  </si>
  <si>
    <r>
      <t>vendas_saldos</t>
    </r>
    <r>
      <rPr>
        <sz val="11"/>
        <color rgb="FF1F1F1F"/>
        <rFont val="Arial"/>
        <family val="2"/>
      </rPr>
      <t xml:space="preserve"> (Staging)</t>
    </r>
  </si>
  <si>
    <r>
      <t>Vendas linx principal</t>
    </r>
    <r>
      <rPr>
        <sz val="11"/>
        <color rgb="FF1F1F1F"/>
        <rFont val="Arial"/>
        <family val="2"/>
      </rPr>
      <t xml:space="preserve"> (Gold)</t>
    </r>
  </si>
  <si>
    <t>Sim (com o Tier 2 Gold)</t>
  </si>
  <si>
    <r>
      <t>Vendas linx principal</t>
    </r>
    <r>
      <rPr>
        <sz val="11"/>
        <color rgb="FF1F1F1F"/>
        <rFont val="Arial"/>
        <family val="2"/>
      </rPr>
      <t xml:space="preserve"> (Gold) e </t>
    </r>
    <r>
      <rPr>
        <sz val="10"/>
        <color rgb="FF444746"/>
        <rFont val="Google Sans Text"/>
        <family val="2"/>
      </rPr>
      <t>Empresas Linx Principal</t>
    </r>
    <r>
      <rPr>
        <sz val="11"/>
        <color rgb="FF1F1F1F"/>
        <rFont val="Arial"/>
        <family val="2"/>
      </rPr>
      <t xml:space="preserve"> (Stg)</t>
    </r>
  </si>
  <si>
    <t>Dependência Principal</t>
  </si>
  <si>
    <r>
      <t>Vendas Linx Principal</t>
    </r>
    <r>
      <rPr>
        <sz val="11"/>
        <color rgb="FF1F1F1F"/>
        <rFont val="Arial"/>
        <family val="2"/>
      </rPr>
      <t xml:space="preserve"> (Gold), </t>
    </r>
    <r>
      <rPr>
        <sz val="10"/>
        <color rgb="FF444746"/>
        <rFont val="Google Sans Text"/>
        <family val="2"/>
      </rPr>
      <t>Vendas Trinks</t>
    </r>
    <r>
      <rPr>
        <sz val="11"/>
        <color rgb="FF1F1F1F"/>
        <rFont val="Arial"/>
        <family val="2"/>
      </rPr>
      <t xml:space="preserve"> (Raw/Stg)</t>
    </r>
  </si>
  <si>
    <r>
      <t>fornecedores</t>
    </r>
    <r>
      <rPr>
        <sz val="11"/>
        <color rgb="FF1F1F1F"/>
        <rFont val="Arial"/>
        <family val="2"/>
      </rPr>
      <t xml:space="preserve"> (Public/Raw)</t>
    </r>
  </si>
  <si>
    <r>
      <t>Cadastro Auxiliar de Lojas</t>
    </r>
    <r>
      <rPr>
        <sz val="11"/>
        <color rgb="FF1F1F1F"/>
        <rFont val="Arial"/>
        <family val="2"/>
      </rPr>
      <t xml:space="preserve"> (Excel/Stg)</t>
    </r>
  </si>
  <si>
    <r>
      <t>contas_apagar</t>
    </r>
    <r>
      <rPr>
        <sz val="11"/>
        <color rgb="FF1F1F1F"/>
        <rFont val="Arial"/>
        <family val="2"/>
      </rPr>
      <t xml:space="preserve"> (Public/Raw)</t>
    </r>
  </si>
  <si>
    <r>
      <t>Vendedores Linx Principal</t>
    </r>
    <r>
      <rPr>
        <sz val="11"/>
        <color rgb="FF1F1F1F"/>
        <rFont val="Arial"/>
        <family val="2"/>
      </rPr>
      <t xml:space="preserve"> (Stg), </t>
    </r>
    <r>
      <rPr>
        <sz val="10"/>
        <color rgb="FF444746"/>
        <rFont val="Google Sans Text"/>
        <family val="2"/>
      </rPr>
      <t>Profissionais Trinks</t>
    </r>
    <r>
      <rPr>
        <sz val="11"/>
        <color rgb="FF1F1F1F"/>
        <rFont val="Arial"/>
        <family val="2"/>
      </rPr>
      <t xml:space="preserve"> (Stg)</t>
    </r>
  </si>
  <si>
    <r>
      <t>Vendas 5 Anos Linx Principal</t>
    </r>
    <r>
      <rPr>
        <sz val="11"/>
        <color rgb="FF1F1F1F"/>
        <rFont val="Arial"/>
        <family val="2"/>
      </rPr>
      <t xml:space="preserve"> (Stg)</t>
    </r>
  </si>
  <si>
    <r>
      <t>depositos_Linx</t>
    </r>
    <r>
      <rPr>
        <sz val="11"/>
        <color rgb="FF1F1F1F"/>
        <rFont val="Arial"/>
        <family val="2"/>
      </rPr>
      <t xml:space="preserve"> (Stg)</t>
    </r>
  </si>
  <si>
    <r>
      <t>Vendas</t>
    </r>
    <r>
      <rPr>
        <sz val="11"/>
        <color rgb="FF1F1F1F"/>
        <rFont val="Arial"/>
        <family val="2"/>
      </rPr>
      <t xml:space="preserve"> (Relacional Tier 1)</t>
    </r>
  </si>
  <si>
    <r>
      <t>Vendas</t>
    </r>
    <r>
      <rPr>
        <sz val="11"/>
        <color rgb="FF1F1F1F"/>
        <rFont val="Arial"/>
        <family val="2"/>
      </rPr>
      <t xml:space="preserve"> (Relacional Tier 1) e </t>
    </r>
    <r>
      <rPr>
        <sz val="10"/>
        <color rgb="FF444746"/>
        <rFont val="Google Sans Text"/>
        <family val="2"/>
      </rPr>
      <t>Orcamento por Grupo</t>
    </r>
  </si>
  <si>
    <r>
      <t>Vendas</t>
    </r>
    <r>
      <rPr>
        <sz val="11"/>
        <color rgb="FF1F1F1F"/>
        <rFont val="Arial"/>
        <family val="2"/>
      </rPr>
      <t xml:space="preserve"> e </t>
    </r>
    <r>
      <rPr>
        <b/>
        <sz val="11"/>
        <color rgb="FF1F1F1F"/>
        <rFont val="Arial"/>
        <family val="2"/>
      </rPr>
      <t>Vendas 5 Anos</t>
    </r>
    <r>
      <rPr>
        <sz val="11"/>
        <color rgb="FF1F1F1F"/>
        <rFont val="Arial"/>
        <family val="2"/>
      </rPr>
      <t xml:space="preserve"> (Relacional Tier 1)</t>
    </r>
  </si>
  <si>
    <r>
      <t>Despesas Realizadas</t>
    </r>
    <r>
      <rPr>
        <sz val="11"/>
        <color rgb="FF1F1F1F"/>
        <rFont val="Arial"/>
        <family val="2"/>
      </rPr>
      <t xml:space="preserve"> (Relacional Tier 1)</t>
    </r>
  </si>
  <si>
    <r>
      <t>Estoques Linx Principal</t>
    </r>
    <r>
      <rPr>
        <sz val="11"/>
        <color rgb="FF1F1F1F"/>
        <rFont val="Arial"/>
        <family val="2"/>
      </rPr>
      <t xml:space="preserve"> (Stg)</t>
    </r>
  </si>
  <si>
    <r>
      <t>Receitas Realizadas</t>
    </r>
    <r>
      <rPr>
        <sz val="11"/>
        <color rgb="FF1F1F1F"/>
        <rFont val="Arial"/>
        <family val="2"/>
      </rPr>
      <t xml:space="preserve"> e </t>
    </r>
    <r>
      <rPr>
        <b/>
        <sz val="11"/>
        <color rgb="FF1F1F1F"/>
        <rFont val="Arial"/>
        <family val="2"/>
      </rPr>
      <t>Contribuicao Despesas CD</t>
    </r>
    <r>
      <rPr>
        <sz val="11"/>
        <color rgb="FF1F1F1F"/>
        <rFont val="Arial"/>
        <family val="2"/>
      </rPr>
      <t xml:space="preserve"> (Gold)</t>
    </r>
  </si>
  <si>
    <t>Não (Depende do Tier 2 e da Gold)</t>
  </si>
  <si>
    <t>relacional:</t>
  </si>
  <si>
    <r>
      <t>Pagamentos Loja Linx Principal</t>
    </r>
    <r>
      <rPr>
        <sz val="11"/>
        <color rgb="FF1F1F1F"/>
        <rFont val="Arial"/>
        <family val="2"/>
      </rPr>
      <t xml:space="preserve"> (Staging) e </t>
    </r>
    <r>
      <rPr>
        <sz val="10"/>
        <color rgb="FF444746"/>
        <rFont val="Google Sans Text"/>
        <family val="2"/>
      </rPr>
      <t>Pagamentos Trinks</t>
    </r>
    <r>
      <rPr>
        <sz val="11"/>
        <color rgb="FF1F1F1F"/>
        <rFont val="Arial"/>
        <family val="2"/>
      </rPr>
      <t xml:space="preserve"> (Sheets)</t>
    </r>
  </si>
  <si>
    <t>s3://bronze-belshop/belshop-sheets-extract/financeiro/historicos/</t>
  </si>
  <si>
    <t>já existe na raw</t>
  </si>
  <si>
    <t>Empresas Trinx: s3://bronze-belshop/belshop-trinks/Empresas/
Empresas Linx Principal: stg</t>
  </si>
  <si>
    <t>s3://bronze-belshop/belshop-trinks/Profissionais/Profissionais.csv</t>
  </si>
  <si>
    <t>Orcamento por Grupo: s3://bronze-belshop/belshop-sheets-extract/financeiro/orcamento_por_grupo/</t>
  </si>
  <si>
    <r>
      <t>Vendas Linx principal 2021</t>
    </r>
    <r>
      <rPr>
        <sz val="11"/>
        <color rgb="FF1F1F1F"/>
        <rFont val="Arial"/>
        <family val="2"/>
      </rPr>
      <t xml:space="preserve"> (Stg), </t>
    </r>
    <r>
      <rPr>
        <sz val="10"/>
        <color rgb="FF444746"/>
        <rFont val="Google Sans Text"/>
        <family val="2"/>
      </rPr>
      <t>items vendas 2021</t>
    </r>
    <r>
      <rPr>
        <sz val="11"/>
        <color rgb="FF1F1F1F"/>
        <rFont val="Arial"/>
        <family val="2"/>
      </rPr>
      <t xml:space="preserve"> (Stg), </t>
    </r>
    <r>
      <rPr>
        <sz val="10"/>
        <color rgb="FF444746"/>
        <rFont val="Google Sans Text"/>
        <family val="2"/>
      </rPr>
      <t>itens trocas 2021</t>
    </r>
    <r>
      <rPr>
        <sz val="11"/>
        <color rgb="FF1F1F1F"/>
        <rFont val="Arial"/>
        <family val="2"/>
      </rPr>
      <t xml:space="preserve"> (Stg)</t>
    </r>
    <r>
      <rPr>
        <sz val="10"/>
        <color rgb="FF444746"/>
        <rFont val="Google Sans Text"/>
        <family val="2"/>
      </rPr>
      <t>, aux_vendas_linx_2020_2021 (?)</t>
    </r>
  </si>
  <si>
    <t>OK</t>
  </si>
  <si>
    <t>status</t>
  </si>
  <si>
    <t>vendas_itens_2019</t>
  </si>
  <si>
    <t>SELECT Upper(Rtrim(V.codigo_empresa))  AS "Codigo da Empresa",
       Upper(Rtrim(V.codigo_venda))    AS "Codigo da Venda",
       Upper(Rtrim(V.serie))           AS "Serie da Venda",
       Upper(Rtrim(V.codigo_cliente))  AS "Codigo do Cliente",
       Upper(Rtrim(V.codigo_vendedor)) AS "Codigo do Vendedor",
       V.data_venda                    AS "Data da Venda",
       0                               AS "Valor da Venda Bruta Total",
       0                               AS "Valor de Troca Total",
       0                               AS "Valor da Venda Liquida Total",
       0                               AS "Quantidade Venda Bruta Total",
       0                               AS "Quantidade Troca Total",
       0                               AS "Quantidade Venda Liquida Total",
       0                               AS "Custo da Venda Total",
       0                               AS "Custo de Troca Total",
       0                               AS "Frete",
       Upper(Rtrim(IV.codigo_produto)) AS "Codigo do Produto",
       IV.quantidade_venda_itens       AS "Quantidade Venda Itens",
       IV.valor_venda_itens            AS "Valor da Venda Itens",
       IV.custo_venda_itens            AS "Custo da Venda Itens",
       0                               AS "Quantidade Troca Itens",
       0                               AS "Valor de Troca Itens",
       0                               AS "Custo de Troca Itens"
FROM   PUBLIC.vendas V
       JOIN itens_vendas IV
         ON ( IV.codigo_empresa = V.codigo_empresa
              AND IV.codigo_venda = V.codigo_venda
              AND IV.data = V.data_venda )
WHERE  V.data_venda &gt;= To_date('2019-01-01', 'YYYY-MM-DD') AND V.data_venda &lt;= To_date('2019-12-31', 'YYYY-MM-DD')</t>
  </si>
  <si>
    <t>vendas_2020</t>
  </si>
  <si>
    <t>SELECT Upper(Rtrim(V.codigo_empresa))                       AS       "Codigo da Empresa",
       Upper(Rtrim(V.codigo_venda))                          AS       "Codigo da Venda",
       Upper(Rtrim(V.serie))                                 AS 	  "Serie da Venda",       
	   Upper(Rtrim(V.codigo_cliente))                        AS       "Codigo do Cliente",
       Upper(Rtrim(V.codigo_vendedor))                       AS       "Codigo do Vendedor",
       V.data_venda                                          AS 	  "Data da Venda",
       V.valor_venda_liquida_total                           AS       "Valor da Venda Bruta Total",
       V.valor_troca_total                                   AS       "Valor de Troca Total",
       ( V.valor_venda_liquida_total - V.valor_troca_total ) AS       "Valor da Venda Liquida Total",
       V.qtde_venda_bruta_total                              AS       "Quantidade Venda Bruta Total",
       V.qtde_troca_total                                    AS       "Quantidade Troca Total",
       V.qtde_venda_liquida_total                            AS       "Quantidade Venda Liquida Total",
       V.custo_venda_total                                   AS       "Custo da Venda Total",
       V.custo_troca_total                                   AS       "Custo de Troca Total",
       V.frete                                               AS 	  "Frete",
       NULL                                                  AS       "Codigo do Produto",
       0                                                     AS       "Quantidade Venda Itens",
       0                                                     AS       "Valor da Venda Itens",
       0                                                     AS       "Custo da Venda Itens",
       0                                                     AS       "Quantidade Troca Itens",
       0                                                     AS       "Valor de Troca Itens",
       0                                                     AS       "Custo de Troca Itens"
FROM   PUBLIC.vendas V
WHERE  V.data_venda &gt;= To_date('2020-01-01', 'YYYY-MM-DD') and V.data_venda &lt;= To_date('2020-12-31', 'YYYY-MM-DD')</t>
  </si>
  <si>
    <t>SELECT Upper(Rtrim(V.codigo_empresa))  AS "Codigo da Empresa",
       Upper(Rtrim(V.codigo_venda))    AS "Codigo da Venda",
       Upper(Rtrim(V.serie))           AS "Serie da Venda",
       Upper(Rtrim(V.codigo_cliente))  AS "Codigo do Cliente",
       Upper(Rtrim(V.codigo_vendedor)) AS "Codigo do Vendedor",
       V.data_venda                    AS "Data da Venda",
       0                               AS "Valor da Venda Bruta Total",
       0                               AS "Valor de Troca Total",
       0                               AS "Valor da Venda Liquida Total",
       0                               AS "Quantidade Venda Bruta Total",
       0                               AS "Quantidade Troca Total",
       0                               AS "Quantidade Venda Liquida Total",
       0                               AS "Custo da Venda Total",
       0                               AS "Custo de Troca Total",
       0                               AS "Frete",
       Upper(Rtrim(IV.codigo_produto)) AS "Codigo do Produto",
       IV.quantidade_venda_itens       AS "Quantidade Venda Itens",
       IV.valor_venda_itens            AS "Valor da Venda Itens",
       IV.custo_venda_itens            AS "Custo da Venda Itens",
       0                               AS "Quantidade Troca Itens",
       0                               AS "Valor de Troca Itens",
       0                               AS "Custo de Troca Itens"
FROM   PUBLIC.vendas V
       JOIN itens_vendas IV
         ON ( IV.codigo_empresa = V.codigo_empresa
              AND IV.codigo_venda = V.codigo_venda
              AND IV.data = V.data_venda )
WHERE  V.data_venda &gt;= To_date('2020-01-01', 'YYYY-MM-DD') AND V.data_venda &lt;= To_date('2020-06-30', 'YYYY-MM-DD')</t>
  </si>
  <si>
    <t>vendas_items_2020_1_6</t>
  </si>
  <si>
    <t>vendas_trocas_2020</t>
  </si>
  <si>
    <t xml:space="preserve">SELECT Upper(Rtrim(V.codigo_empresa))  AS "Codigo da Empresa",
       Upper(Rtrim(V.codigo_venda))    AS "Codigo da Venda",
       Upper(Rtrim(V.serie))           AS "Serie da Venda",
       Upper(Rtrim(V.codigo_cliente))  AS "Codigo do Cliente",
       Upper(Rtrim(V.codigo_vendedor)) AS "Codigo do Vendedor",
       V.data_venda                    AS "Data da Venda",
       0                               AS "Valor da Venda Bruta Total",
       0                               AS "Valor de Troca Total",
       0                               AS "Valor da Venda Liquida Total",
       0                               AS "Quantidade Venda Bruta Total",
       0                               AS "Quantidade Troca Total",
       0                               AS "Quantidade Venda Liquida Total",
       0                               AS "Custo da Venda Total",
       0                               AS "Custo de Troca Total",
       0                               AS "Frete",
       Upper(Rtrim(IT.codigo_produto)) AS "Codigo do Produto",
       0                               AS "Quantidade Venda Itens",
       0                               AS "Valor da Venda Itens",
       0                               AS "Custo da Venda Itens",
       IT.quantidade_troca_itens       AS "Quantidade Troca Itens",
       IT.valor_troca_itens            AS "Valor de Troca Itens",
       IT.custo_troca_itens            AS "Custo de Troca Itens"
FROM   PUBLIC.vendas V
       JOIN itens_trocas IT
         ON ( IT.codigo_empresa = V.codigo_empresa
              AND IT.codigo_venda = V.codigo_venda
              AND IT.data = V.data_venda )
WHERE  V.data_venda &gt;= To_date('2020-01-01', 'YYYY-MM-DD') and V.data_venda &lt;= To_date('2020-12-31', 'YYYY-MM-DD')  </t>
  </si>
  <si>
    <t xml:space="preserve">SELECT Upper(Rtrim(V.codigo_empresa))  AS "Codigo da Empresa",
       Upper(Rtrim(V.codigo_venda))    AS "Codigo da Venda",
       Upper(Rtrim(V.serie))           AS "Serie da Venda",
       Upper(Rtrim(V.codigo_cliente))  AS "Codigo do Cliente",
       Upper(Rtrim(V.codigo_vendedor)) AS "Codigo do Vendedor",
       V.data_venda                    AS "Data da Venda",
       0                               AS "Valor da Venda Bruta Total",
       0                               AS "Valor de Troca Total",
       0                               AS "Valor da Venda Liquida Total",
       0                               AS "Quantidade Venda Bruta Total",
       0                               AS "Quantidade Troca Total",
       0                               AS "Quantidade Venda Liquida Total",
       0                               AS "Custo da Venda Total",
       0                               AS "Custo de Troca Total",
       0                               AS "Frete",
       Upper(Rtrim(IT.codigo_produto)) AS "Codigo do Produto",
       0                               AS "Quantidade Venda Itens",
       0                               AS "Valor da Venda Itens",
       0                               AS "Custo da Venda Itens",
       IT.quantidade_troca_itens       AS "Quantidade Troca Itens",
       IT.valor_troca_itens            AS "Valor de Troca Itens",
       IT.custo_troca_itens            AS "Custo de Troca Itens"
FROM   PUBLIC.vendas V
       JOIN itens_trocas IT
         ON ( IT.codigo_empresa = V.codigo_empresa
              AND IT.codigo_venda = V.codigo_venda
              AND IT.data = V.data_venda )
WHERE  V.data_venda &gt;= To_date('2019-01-01', 'YYYY-MM-DD') and V.data_venda &lt;= To_date('2019-12-31', 'YYYY-MM-DD')  </t>
  </si>
  <si>
    <t>vendas_trocas_2019</t>
  </si>
  <si>
    <t xml:space="preserve"> SELECT Upper(Rtrim(V.codigo_empresa))                       AS       "Codigo da Empresa",
       Upper(Rtrim(V.codigo_venda))                          AS       "Codigo da Venda",
       Upper(Rtrim(V.serie))                                 AS 	  "Serie da Venda",       
	   Upper(Rtrim(V.codigo_cliente))                        AS       "Codigo do Cliente",
       Upper(Rtrim(V.codigo_vendedor))                       AS       "Codigo do Vendedor",
       V.data_venda                                          AS 	  "Data da Venda",
       V.valor_venda_liquida_total                           AS       "Valor da Venda Bruta Total",
       V.valor_troca_total                                   AS       "Valor de Troca Total",
       ( V.valor_venda_liquida_total - V.valor_troca_total ) AS       "Valor da Venda Liquida Total",
       V.qtde_venda_bruta_total                              AS       "Quantidade Venda Bruta Total",
       V.qtde_troca_total                                    AS       "Quantidade Troca Total",
       V.qtde_venda_liquida_total                            AS       "Quantidade Venda Liquida Total",
       V.custo_venda_total                                   AS       "Custo da Venda Total",
       V.custo_troca_total                                   AS       "Custo de Troca Total",
       V.frete                                               AS 	  "Frete",
       NULL                                                  AS       "Codigo do Produto",
       0                                                     AS       "Quantidade Venda Itens",
       0                                                     AS       "Valor da Venda Itens",
       0                                                     AS       "Custo da Venda Itens",
       0                                                     AS       "Quantidade Troca Itens",
       0                                                     AS       "Valor de Troca Itens",
       0                                                     AS       "Custo de Troca Itens"
FROM   PUBLIC.vendas V
WHERE  V.data_venda &gt;= To_date('2019-01-01', 'YYYY-MM-DD') and V.data_venda &lt;= To_date('2019-12-31', 'YYYY-MM-DD')</t>
  </si>
  <si>
    <t>vendas_2019</t>
  </si>
  <si>
    <t>vendas_items_2020_6_12</t>
  </si>
  <si>
    <t>SELECT Upper(Rtrim(V.codigo_empresa))  AS "Codigo da Empresa",
       Upper(Rtrim(V.codigo_venda))    AS "Codigo da Venda",
       Upper(Rtrim(V.serie))           AS "Serie da Venda",
       Upper(Rtrim(V.codigo_cliente))  AS "Codigo do Cliente",
       Upper(Rtrim(V.codigo_vendedor)) AS "Codigo do Vendedor",
       V.data_venda                    AS "Data da Venda",
       0                               AS "Valor da Venda Bruta Total",
       0                               AS "Valor de Troca Total",
       0                               AS "Valor da Venda Liquida Total",
       0                               AS "Quantidade Venda Bruta Total",
       0                               AS "Quantidade Troca Total",
       0                               AS "Quantidade Venda Liquida Total",
       0                               AS "Custo da Venda Total",
       0                               AS "Custo de Troca Total",
       0                               AS "Frete",
       Upper(Rtrim(IV.codigo_produto)) AS "Codigo do Produto",
       IV.quantidade_venda_itens       AS "Quantidade Venda Itens",
       IV.valor_venda_itens            AS "Valor da Venda Itens",
       IV.custo_venda_itens            AS "Custo da Venda Itens",
       0                               AS "Quantidade Troca Itens",
       0                               AS "Valor de Troca Itens",
       0                               AS "Custo de Troca Itens"
FROM   PUBLIC.vendas V
       JOIN itens_vendas IV
         ON ( IV.codigo_empresa = V.codigo_empresa
              AND IV.codigo_venda = V.codigo_venda
              AND IV.data = V.data_venda )
WHERE  V.data_venda &gt;= To_date('2020-07-01', 'YYYY-MM-DD') AND V.data_venda &lt;= To_date('2020-12-31', 'YYYY-MM-DD')</t>
  </si>
  <si>
    <t>aux_vendas_linx_2020_2021</t>
  </si>
  <si>
    <t>SELECT * FROM [vendas_2019]
UNION ALL
SELECT * FROM [vendas_2020]
UNION ALL
SELECT * FROM [vendas_items_2019]
UNION ALL
SELECT * FROM [vendas_items_2020_1_6]
UNION ALL
SELECT * FROM [vendas_items_2020_6_12]
UNION ALL
SELECT * FROM [vendas_trocas_2019]
UNION ALL
SELECT * FROM [vendas_trocas_2020]</t>
  </si>
  <si>
    <r>
      <t>Receitas Realizadas</t>
    </r>
    <r>
      <rPr>
        <sz val="11"/>
        <color rgb="FF1F1F1F"/>
        <rFont val="Arial"/>
        <family val="2"/>
      </rPr>
      <t xml:space="preserve"> (relacional) e </t>
    </r>
    <r>
      <rPr>
        <sz val="10"/>
        <color rgb="FF444746"/>
        <rFont val="Google Sans Text"/>
        <family val="2"/>
      </rPr>
      <t>Despesas Realizadas</t>
    </r>
    <r>
      <rPr>
        <sz val="11"/>
        <color rgb="FF1F1F1F"/>
        <rFont val="Arial"/>
        <family val="2"/>
      </rPr>
      <t xml:space="preserve"> (relacional)</t>
    </r>
  </si>
  <si>
    <t xml:space="preserve">Sim (com o Tier 3 </t>
  </si>
  <si>
    <r>
      <t>Despesas Realizadas</t>
    </r>
    <r>
      <rPr>
        <sz val="11"/>
        <color rgb="FF1F1F1F"/>
        <rFont val="Arial"/>
        <family val="2"/>
      </rPr>
      <t xml:space="preserve"> (Relacional) e </t>
    </r>
    <r>
      <rPr>
        <sz val="10"/>
        <color rgb="FF444746"/>
        <rFont val="Google Sans Text"/>
        <family val="2"/>
      </rPr>
      <t>Historicos</t>
    </r>
    <r>
      <rPr>
        <sz val="11"/>
        <color rgb="FF1F1F1F"/>
        <rFont val="Arial"/>
        <family val="2"/>
      </rPr>
      <t xml:space="preserve"> (SHeets)</t>
    </r>
  </si>
  <si>
    <t>ok</t>
  </si>
  <si>
    <t>vendas_linx_principal</t>
  </si>
  <si>
    <t>aux_produtos_estoque_linx_principal</t>
  </si>
  <si>
    <t>classe_produto</t>
  </si>
  <si>
    <t>pagamentos_loja</t>
  </si>
  <si>
    <t>aux_empresas_ult_venda_linx_principal</t>
  </si>
  <si>
    <t>aux_clientes_ult_compra_linx_principal</t>
  </si>
  <si>
    <t>aux_clientes_ult_vendedor_linx_principal</t>
  </si>
  <si>
    <t>aux_clientes_frequencia_linx_principal</t>
  </si>
  <si>
    <t>aux_clientes_valor_linx_principal</t>
  </si>
  <si>
    <t>aux_produtos_venda_linx_principal</t>
  </si>
  <si>
    <r>
      <t>-- DESPESAS REALIZADAS
-- #################################
SELECT D.codigo_empresa
	, D.num_fatura
	, D.data_emissao
	, D.data_vencimento
	, D.data_baixa
	, D.valor_pago * -1 AS Valor
	, D.doc_excluido
	, D.doc_cancelado
	, D.cod_historico
	, D.mes_referencia
	, D.cod_grupo_historico
	, D.nome_grupo_historico
	, D.nome_historico
FROM [Despesas Realizadas] D
-- #################################
-- RECEITAS REALIZADAS
-- #################################
UNION ALL
SELECT R.[Codigo da Empresa]
	, 0
	, CAST(NULL AS DATETIME)
	, CAST(NULL AS DATETIME)
	, CAST(NULL AS DATETIME)
	, R.[Venda Realizada]
	, ''
	, ''
	, 0
	, R.[Mes de Referencia]
	, R.cod_grupo_historico
	, ''
	, ''
FROM [Receitas Realizadas] R
-- #################################
-- PERDAS (2% SOBRE A VENDA DE LOJA, SEM SALÃO)
-- #################################
UNION ALL
SELECT R.[Codigo da Empresa]
	, 0
	, CAST(NULL AS DATETIME)
	, CAST(NULL AS DATETIME)
	, CAST(NULL AS DATETIME)
	, R.[Venda Realizada] * -2/100
	, ''
	, ''
	, 0
	, R.[Mes de Referencia]
	, 19
	, ''
	, ''
FROM [Receitas Realizadas] R
WHERE R.cod_grupo_historico=14
-- #################################
-- TAXA ADM CARTÕES (1% SOBRE A VENDA DE LOJA+SALÃO)
-- #################################
UNION ALL
SELECT R.[Codigo da Empresa]
	, 0
	, CAST(NULL AS DATETIME)
	, CAST(NULL AS DATETIME)
	, CAST(NULL AS DATETIME)
	, R.[Venda Realizada] * -1/100
	, ''
	, ''
	, 0
	, R.[Mes de Referencia]
	, 20
	, ''
	, ''
FROM [Receitas Realizadas] R
-- #################################
-- RATEIO DESPESAS CD
-- #################################
UNION ALL
SELECT C.[Codigo da Empresa]
	, 0
	, CAST(NULL AS DATETIME)
	, CAST(NULL AS DATETIME)
	, CAST(NULL AS DATETIME)
	, C.Contrib_Loja_Despesa_CD * -1 AS Valor
	, ''
	, ''
	, 0
	, C.Mes
	, 21
	, ''
	, ''
FROM [Contribuicao Despesas CD] C
-- #################################
-- RATEIO DESPESAS CD SEM COMPRAS
-- #################################
UNION ALL
SELECT C.[Codigo da Empresa]
	, 0
	, CAST(NULL AS DATETIME)
	, CAST(NULL AS DATETIME)
	, CAST(NULL AS DATETIME)
	, C.Contrib_Loja_Despesa_CD_Sem_Compras * -1 AS Valor
	, ''
	, ''
	, 0
	, C.Mes
	, 24
	, ''
	, ''
FROM [Contribuicao Despesas CD] C
-- #################################
-- CUSTO SERVIÇOS (FIXO EM 66.3%)
-- #################################
UNION ALL
SELECT R.[Codigo da Empresa]
	, 0
	, CAST(NULL AS DATETIME)
	, CAST(NULL AS DATETIME)
	, CAST(NULL AS DATETIME)
	, R.[Venda Realizada] * -66.30/100
	, ''
	, ''
	, 0
	, R.[Mes de Referencia]
	, 22
	, ''
	, ''
FROM [Receitas Realizadas] R
WHERE R.cod_grupo_historico=15
-- #################################
-- CUSTO MERCADORIAS VENDIDAS
-- #################################
UNION ALL
SELECT R.[Codigo da Empresa]
	, 0
	, CAST(NULL AS DATETIME)
	, CAST(NULL AS DATETIME)
	, CAST(NULL AS DATETIME)
	, R.CMV * -1
	, ''
	, ''</t>
    </r>
    <r>
      <rPr>
        <b/>
        <u/>
        <sz val="11"/>
        <color theme="1"/>
        <rFont val="Aptos Narrow"/>
        <family val="2"/>
        <scheme val="minor"/>
      </rPr>
      <t xml:space="preserve">
	, 0
	, R.[Mes de Referencia]
	, 23
	, ''
	, ''
FROM [Receitas Realizadas] R</t>
    </r>
    <r>
      <rPr>
        <u/>
        <sz val="11"/>
        <color theme="1"/>
        <rFont val="Aptos Narrow"/>
        <family val="2"/>
        <scheme val="minor"/>
      </rPr>
      <t xml:space="preserve">
WHERE R.cod_grupo_historico=14</t>
    </r>
  </si>
  <si>
    <t>-- -- RECEITAS REALIZADAS POR LOJA
-- #################################
SELECT R.[Codigo da Empresa]
	, R.[Mes de Referencia] AS Mes
	, SUM(R.[Venda Realizada]) AS Valor_Receita_Loja
	, T.Valor AS Valor_Receita_Total
	, SUM(R.[Venda Realizada])/T.Valor AS Perc_Rec_Total
	, D2.Valor AS Valor_Despesa_CD
	, D2.Valor * SUM(R.[Venda Realizada])/T.Valor AS Contrib_Loja_Despesa_CD
	, D3.Valor AS Valor_Despesa_CD_Sem_Compras
	, D3.Valor * SUM(R.[Venda Realizada])/T.Valor AS Contrib_Loja_Despesa_CD_Sem_Compras
FROM [Receitas Realizadas] R
LEFT JOIN 
(
-- #################################
-- RECEITAS REALIZADAS TOTAL
-- #################################
SELECT R2.[Mes de Referencia] AS Mes
	, SUM(R2.[Venda Realizada]) AS Valor
FROM [Receitas Realizadas] R2
GROUP BY R2.[Mes de Referencia]
) T ON T.Mes = R.[Mes de Referencia]
LEFT JOIN 
(
-- #################################
-- DESPESAS DO CD
-- #################################
SELECT D.mes_referencia
	, SUM(D.valor_pago) AS Valor
FROM [Despesas Realizadas] D
WHERE D.codigo_empresa='2'
GROUP BY D.mes_referencia
) D2 ON D2.mes_referencia = R.[Mes de Referencia]
LEFT JOIN 
(
-- #################################
-- DESPESAS DO CD SEM COMPRAS
-- #################################
SELECT D.mes_referencia
	, SUM(D.valor_pago) AS Valor
FROM [Despesas Realizadas] D
WHERE D.codigo_empresa='2'
	AND D.cod_grupo_historico&lt;&gt;4
GROUP BY D.mes_referencia
) D3 ON D3.mes_referencia = R.[Mes de Referencia]
--WHERE R.[Codigo da Empresa]='18'
GROUP BY R.[Codigo da Empresa]
	, R.[Mes de Referencia]
	, T.Valor
	, D2.Valor
	, D3.Valor</t>
  </si>
  <si>
    <r>
      <t>Produtos Linx Principal</t>
    </r>
    <r>
      <rPr>
        <sz val="11"/>
        <color rgb="FF1F1F1F"/>
        <rFont val="Arial"/>
        <family val="2"/>
      </rPr>
      <t xml:space="preserve"> (Stg), </t>
    </r>
    <r>
      <rPr>
        <sz val="10"/>
        <color rgb="FF444746"/>
        <rFont val="Google Sans Text"/>
        <family val="2"/>
      </rPr>
      <t>ClasseProduto</t>
    </r>
    <r>
      <rPr>
        <sz val="11"/>
        <color rgb="FF1F1F1F"/>
        <rFont val="Arial"/>
        <family val="2"/>
      </rPr>
      <t xml:space="preserve"> (Gold), </t>
    </r>
    <r>
      <rPr>
        <sz val="10"/>
        <color rgb="FF444746"/>
        <rFont val="Google Sans Text"/>
        <family val="2"/>
      </rPr>
      <t>Produtos Trinks (servicos trinks)</t>
    </r>
    <r>
      <rPr>
        <sz val="11"/>
        <color rgb="FF1F1F1F"/>
        <rFont val="Arial"/>
        <family val="2"/>
      </rPr>
      <t xml:space="preserve"> (Stg)</t>
    </r>
  </si>
  <si>
    <t>Fornecedores Final</t>
  </si>
  <si>
    <t>Clientes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</si>
</sst>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  <font>
      <u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  <font>
      <b/>
      <sz val="10"/>
      <color rgb="FF444746"/>
      <name val="Google Sans Text"/>
      <family val="2"/>
    </font>
    <font>
      <b/>
      <u/>
      <sz val="11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wrapText="1"/>
    </xf>
    <xf numFmtId="0" fontId="0" fillId="0" borderId="0" xfId="0" quotePrefix="1"/>
    <xf numFmtId="0" fontId="0" fillId="2" borderId="1" xfId="0" applyFill="1" applyBorder="1"/>
    <xf numFmtId="0" fontId="0" fillId="2" borderId="2" xfId="0" applyFill="1" applyBorder="1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1" fillId="0" borderId="0" xfId="0" applyFont="1"/>
    <xf numFmtId="0" fontId="4" fillId="0" borderId="0" xfId="0" applyFont="1" applyAlignment="1">
      <alignment horizontal="left" vertical="center" indent="1"/>
    </xf>
    <xf numFmtId="0" fontId="5" fillId="0" borderId="0" xfId="0" applyFont="1"/>
    <xf numFmtId="0" fontId="6" fillId="2" borderId="0" xfId="0" applyFont="1" applyFill="1" applyAlignment="1">
      <alignment horizontal="center"/>
    </xf>
    <xf numFmtId="0" fontId="0" fillId="3" borderId="0" xfId="0" applyFill="1"/>
    <xf numFmtId="0" fontId="5" fillId="0" borderId="0" xfId="0" applyFont="1" applyAlignment="1">
      <alignment wrapText="1"/>
    </xf>
    <xf numFmtId="0" fontId="0" fillId="2" borderId="0" xfId="0" applyFill="1"/>
    <xf numFmtId="0" fontId="0" fillId="4" borderId="0" xfId="0" applyFill="1"/>
    <xf numFmtId="0" fontId="0" fillId="0" borderId="0" xfId="0" quotePrefix="1" applyAlignment="1">
      <alignment wrapText="1"/>
    </xf>
    <xf numFmtId="0" fontId="8" fillId="0" borderId="3" xfId="0" applyFont="1" applyBorder="1" applyAlignment="1">
      <alignment horizontal="right" vertical="center" wrapText="1" indent="1" readingOrder="1"/>
    </xf>
    <xf numFmtId="0" fontId="7" fillId="0" borderId="3" xfId="0" applyFont="1" applyBorder="1" applyAlignment="1">
      <alignment horizontal="right" vertical="center" wrapText="1" indent="1" readingOrder="1"/>
    </xf>
    <xf numFmtId="0" fontId="9" fillId="0" borderId="3" xfId="0" applyFont="1" applyBorder="1" applyAlignment="1">
      <alignment horizontal="right" vertical="center" wrapText="1" indent="1" readingOrder="1"/>
    </xf>
    <xf numFmtId="0" fontId="8" fillId="5" borderId="3" xfId="0" applyFont="1" applyFill="1" applyBorder="1" applyAlignment="1">
      <alignment horizontal="right" vertical="center" wrapText="1" indent="1" readingOrder="1"/>
    </xf>
    <xf numFmtId="0" fontId="7" fillId="5" borderId="3" xfId="0" applyFont="1" applyFill="1" applyBorder="1" applyAlignment="1">
      <alignment horizontal="right" vertical="center" wrapText="1" indent="1" readingOrder="1"/>
    </xf>
    <xf numFmtId="0" fontId="8" fillId="6" borderId="3" xfId="0" applyFont="1" applyFill="1" applyBorder="1" applyAlignment="1">
      <alignment horizontal="right" vertical="center" wrapText="1" indent="1" readingOrder="1"/>
    </xf>
    <xf numFmtId="0" fontId="9" fillId="6" borderId="3" xfId="0" applyFont="1" applyFill="1" applyBorder="1" applyAlignment="1">
      <alignment horizontal="right" vertical="center" wrapText="1" indent="1" readingOrder="1"/>
    </xf>
    <xf numFmtId="0" fontId="7" fillId="6" borderId="3" xfId="0" applyFont="1" applyFill="1" applyBorder="1" applyAlignment="1">
      <alignment horizontal="right" vertical="center" wrapText="1" indent="1" readingOrder="1"/>
    </xf>
    <xf numFmtId="0" fontId="8" fillId="7" borderId="3" xfId="0" applyFont="1" applyFill="1" applyBorder="1" applyAlignment="1">
      <alignment horizontal="right" vertical="center" wrapText="1" indent="1" readingOrder="1"/>
    </xf>
    <xf numFmtId="0" fontId="7" fillId="7" borderId="3" xfId="0" applyFont="1" applyFill="1" applyBorder="1" applyAlignment="1">
      <alignment horizontal="right" vertical="center" wrapText="1" indent="1" readingOrder="1"/>
    </xf>
    <xf numFmtId="0" fontId="9" fillId="7" borderId="3" xfId="0" applyFont="1" applyFill="1" applyBorder="1" applyAlignment="1">
      <alignment horizontal="right" vertical="center" wrapText="1" indent="1" readingOrder="1"/>
    </xf>
    <xf numFmtId="0" fontId="8" fillId="0" borderId="4" xfId="0" applyFont="1" applyBorder="1" applyAlignment="1">
      <alignment horizontal="right" vertical="center" wrapText="1" indent="1" readingOrder="1"/>
    </xf>
    <xf numFmtId="0" fontId="8" fillId="8" borderId="3" xfId="0" applyFont="1" applyFill="1" applyBorder="1" applyAlignment="1">
      <alignment horizontal="right" vertical="center" wrapText="1" indent="1" readingOrder="1"/>
    </xf>
    <xf numFmtId="0" fontId="9" fillId="8" borderId="3" xfId="0" applyFont="1" applyFill="1" applyBorder="1" applyAlignment="1">
      <alignment horizontal="right" vertical="center" wrapText="1" indent="1" readingOrder="1"/>
    </xf>
    <xf numFmtId="0" fontId="7" fillId="8" borderId="3" xfId="0" applyFont="1" applyFill="1" applyBorder="1" applyAlignment="1">
      <alignment horizontal="right" vertical="center" wrapText="1" indent="1" readingOrder="1"/>
    </xf>
    <xf numFmtId="0" fontId="8" fillId="9" borderId="3" xfId="0" applyFont="1" applyFill="1" applyBorder="1" applyAlignment="1">
      <alignment horizontal="right" vertical="center" wrapText="1" indent="1" readingOrder="1"/>
    </xf>
    <xf numFmtId="0" fontId="0" fillId="3" borderId="0" xfId="0" applyFill="1" applyAlignment="1">
      <alignment wrapText="1"/>
    </xf>
    <xf numFmtId="0" fontId="0" fillId="2" borderId="0" xfId="0" applyFill="1" applyAlignment="1">
      <alignment wrapText="1"/>
    </xf>
    <xf numFmtId="0" fontId="0" fillId="10" borderId="0" xfId="0" applyFill="1"/>
    <xf numFmtId="0" fontId="0" fillId="11" borderId="0" xfId="0" applyFill="1"/>
    <xf numFmtId="0" fontId="5" fillId="11" borderId="0" xfId="0" quotePrefix="1" applyFont="1" applyFill="1" applyAlignment="1">
      <alignment wrapText="1"/>
    </xf>
    <xf numFmtId="0" fontId="0" fillId="11" borderId="0" xfId="0" applyFill="1" applyAlignment="1">
      <alignment wrapText="1"/>
    </xf>
    <xf numFmtId="0" fontId="8" fillId="6" borderId="3" xfId="0" applyFont="1" applyFill="1" applyBorder="1" applyAlignment="1">
      <alignment horizontal="right" vertical="center" indent="1" readingOrder="1"/>
    </xf>
    <xf numFmtId="0" fontId="8" fillId="7" borderId="3" xfId="0" applyFont="1" applyFill="1" applyBorder="1" applyAlignment="1">
      <alignment horizontal="right" vertical="center" indent="1" readingOrder="1"/>
    </xf>
    <xf numFmtId="0" fontId="8" fillId="8" borderId="3" xfId="0" applyFont="1" applyFill="1" applyBorder="1" applyAlignment="1">
      <alignment horizontal="right" vertical="center" indent="1" readingOrder="1"/>
    </xf>
    <xf numFmtId="0" fontId="8" fillId="9" borderId="3" xfId="0" applyFont="1" applyFill="1" applyBorder="1" applyAlignment="1">
      <alignment horizontal="right" vertical="center" indent="1" readingOrder="1"/>
    </xf>
    <xf numFmtId="0" fontId="0" fillId="12" borderId="0" xfId="0" applyFill="1"/>
    <xf numFmtId="0" fontId="8" fillId="12" borderId="3" xfId="0" applyFont="1" applyFill="1" applyBorder="1" applyAlignment="1">
      <alignment horizontal="right" vertical="center" wrapText="1" indent="1" readingOrder="1"/>
    </xf>
    <xf numFmtId="0" fontId="0" fillId="1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AF0C1-82DE-4191-B390-3CB2C6669889}">
  <sheetPr filterMode="1"/>
  <dimension ref="A1:E61"/>
  <sheetViews>
    <sheetView topLeftCell="A58" zoomScale="70" zoomScaleNormal="70" workbookViewId="0">
      <selection activeCell="A15" sqref="A15"/>
    </sheetView>
  </sheetViews>
  <sheetFormatPr defaultRowHeight="15"/>
  <cols>
    <col min="1" max="1" width="25.42578125" customWidth="1"/>
    <col min="2" max="2" width="255.7109375" bestFit="1" customWidth="1"/>
    <col min="3" max="3" width="79.85546875" customWidth="1"/>
  </cols>
  <sheetData>
    <row r="1" spans="1:5" ht="18.75">
      <c r="A1" s="11" t="s">
        <v>1</v>
      </c>
      <c r="B1" s="11" t="s">
        <v>2</v>
      </c>
      <c r="C1" s="11" t="s">
        <v>31</v>
      </c>
      <c r="D1" s="11" t="s">
        <v>158</v>
      </c>
      <c r="E1" s="11" t="s">
        <v>160</v>
      </c>
    </row>
    <row r="2" spans="1:5" hidden="1">
      <c r="A2" t="s">
        <v>51</v>
      </c>
      <c r="B2" t="s">
        <v>50</v>
      </c>
      <c r="C2" t="s">
        <v>116</v>
      </c>
      <c r="D2" t="s">
        <v>156</v>
      </c>
    </row>
    <row r="3" spans="1:5" hidden="1">
      <c r="A3" t="s">
        <v>43</v>
      </c>
      <c r="B3" t="s">
        <v>42</v>
      </c>
      <c r="C3" t="s">
        <v>115</v>
      </c>
      <c r="D3" t="s">
        <v>156</v>
      </c>
    </row>
    <row r="4" spans="1:5" hidden="1">
      <c r="A4" t="s">
        <v>45</v>
      </c>
      <c r="B4" t="s">
        <v>44</v>
      </c>
      <c r="C4" t="s">
        <v>116</v>
      </c>
      <c r="D4" t="s">
        <v>156</v>
      </c>
    </row>
    <row r="5" spans="1:5" hidden="1">
      <c r="A5" t="s">
        <v>53</v>
      </c>
      <c r="B5" t="s">
        <v>52</v>
      </c>
      <c r="C5" t="s">
        <v>116</v>
      </c>
      <c r="D5" t="s">
        <v>156</v>
      </c>
    </row>
    <row r="6" spans="1:5" hidden="1">
      <c r="A6" t="s">
        <v>37</v>
      </c>
      <c r="B6" t="s">
        <v>36</v>
      </c>
      <c r="C6" t="s">
        <v>112</v>
      </c>
      <c r="D6" t="s">
        <v>156</v>
      </c>
    </row>
    <row r="7" spans="1:5" hidden="1">
      <c r="A7" t="s">
        <v>35</v>
      </c>
      <c r="B7" t="s">
        <v>34</v>
      </c>
      <c r="C7" t="s">
        <v>111</v>
      </c>
      <c r="D7" t="s">
        <v>156</v>
      </c>
    </row>
    <row r="8" spans="1:5" hidden="1">
      <c r="A8" t="s">
        <v>55</v>
      </c>
      <c r="B8" t="s">
        <v>54</v>
      </c>
      <c r="C8" t="s">
        <v>116</v>
      </c>
      <c r="D8" t="s">
        <v>156</v>
      </c>
    </row>
    <row r="9" spans="1:5" hidden="1">
      <c r="A9" t="s">
        <v>47</v>
      </c>
      <c r="B9" t="s">
        <v>46</v>
      </c>
      <c r="C9" t="s">
        <v>117</v>
      </c>
      <c r="D9" t="s">
        <v>156</v>
      </c>
    </row>
    <row r="10" spans="1:5" hidden="1">
      <c r="A10" t="s">
        <v>39</v>
      </c>
      <c r="B10" s="2" t="s">
        <v>38</v>
      </c>
      <c r="C10" t="s">
        <v>113</v>
      </c>
      <c r="D10" t="s">
        <v>156</v>
      </c>
    </row>
    <row r="11" spans="1:5" hidden="1">
      <c r="A11" t="s">
        <v>49</v>
      </c>
      <c r="B11" t="s">
        <v>48</v>
      </c>
      <c r="C11" t="s">
        <v>118</v>
      </c>
      <c r="D11" t="s">
        <v>156</v>
      </c>
    </row>
    <row r="12" spans="1:5" hidden="1">
      <c r="A12" t="s">
        <v>41</v>
      </c>
      <c r="B12" t="s">
        <v>40</v>
      </c>
      <c r="C12" t="s">
        <v>114</v>
      </c>
      <c r="D12" t="s">
        <v>156</v>
      </c>
    </row>
    <row r="13" spans="1:5" hidden="1">
      <c r="A13" t="s">
        <v>33</v>
      </c>
      <c r="B13" t="s">
        <v>32</v>
      </c>
      <c r="C13" t="s">
        <v>110</v>
      </c>
      <c r="D13" t="s">
        <v>156</v>
      </c>
    </row>
    <row r="14" spans="1:5">
      <c r="A14" s="12" t="s">
        <v>28</v>
      </c>
      <c r="B14" t="s">
        <v>27</v>
      </c>
      <c r="C14" t="s">
        <v>108</v>
      </c>
      <c r="D14" t="s">
        <v>157</v>
      </c>
      <c r="E14" t="s">
        <v>161</v>
      </c>
    </row>
    <row r="15" spans="1:5">
      <c r="A15" s="12" t="s">
        <v>12</v>
      </c>
      <c r="B15" t="s">
        <v>11</v>
      </c>
      <c r="C15" t="s">
        <v>100</v>
      </c>
      <c r="D15" t="s">
        <v>157</v>
      </c>
    </row>
    <row r="16" spans="1:5">
      <c r="A16" s="12" t="s">
        <v>26</v>
      </c>
      <c r="B16" t="s">
        <v>25</v>
      </c>
      <c r="C16" t="s">
        <v>107</v>
      </c>
      <c r="D16" t="s">
        <v>157</v>
      </c>
      <c r="E16" t="s">
        <v>162</v>
      </c>
    </row>
    <row r="17" spans="1:5" ht="150">
      <c r="A17" s="12" t="s">
        <v>24</v>
      </c>
      <c r="B17" s="1" t="s">
        <v>23</v>
      </c>
      <c r="C17" t="s">
        <v>106</v>
      </c>
      <c r="D17" t="s">
        <v>157</v>
      </c>
    </row>
    <row r="18" spans="1:5">
      <c r="A18" s="12" t="s">
        <v>18</v>
      </c>
      <c r="B18" t="s">
        <v>17</v>
      </c>
      <c r="C18" t="s">
        <v>103</v>
      </c>
      <c r="D18" t="s">
        <v>157</v>
      </c>
      <c r="E18" t="s">
        <v>161</v>
      </c>
    </row>
    <row r="19" spans="1:5" ht="409.5">
      <c r="A19" s="12" t="s">
        <v>6</v>
      </c>
      <c r="B19" s="13" t="s">
        <v>5</v>
      </c>
      <c r="C19" s="13" t="s">
        <v>97</v>
      </c>
      <c r="D19" t="s">
        <v>157</v>
      </c>
    </row>
    <row r="20" spans="1:5" ht="409.5">
      <c r="A20" s="12" t="s">
        <v>7</v>
      </c>
      <c r="B20" s="1" t="s">
        <v>8</v>
      </c>
      <c r="C20" s="1" t="s">
        <v>98</v>
      </c>
      <c r="D20" t="s">
        <v>157</v>
      </c>
    </row>
    <row r="21" spans="1:5" ht="240">
      <c r="A21" s="12" t="s">
        <v>14</v>
      </c>
      <c r="B21" s="1" t="s">
        <v>13</v>
      </c>
      <c r="C21" t="s">
        <v>101</v>
      </c>
      <c r="D21" t="s">
        <v>157</v>
      </c>
    </row>
    <row r="22" spans="1:5" ht="195">
      <c r="A22" s="12" t="s">
        <v>30</v>
      </c>
      <c r="B22" s="1" t="s">
        <v>29</v>
      </c>
      <c r="C22" t="s">
        <v>109</v>
      </c>
      <c r="D22" t="s">
        <v>157</v>
      </c>
    </row>
    <row r="23" spans="1:5">
      <c r="A23" s="12" t="s">
        <v>9</v>
      </c>
      <c r="B23" t="s">
        <v>10</v>
      </c>
      <c r="C23" t="s">
        <v>99</v>
      </c>
      <c r="D23" t="s">
        <v>157</v>
      </c>
    </row>
    <row r="24" spans="1:5">
      <c r="A24" s="12" t="s">
        <v>20</v>
      </c>
      <c r="B24" t="s">
        <v>19</v>
      </c>
      <c r="C24" t="s">
        <v>104</v>
      </c>
      <c r="D24" t="s">
        <v>157</v>
      </c>
    </row>
    <row r="25" spans="1:5" ht="409.5">
      <c r="A25" s="12" t="s">
        <v>3</v>
      </c>
      <c r="B25" s="1" t="s">
        <v>0</v>
      </c>
      <c r="C25" t="s">
        <v>96</v>
      </c>
      <c r="D25" t="s">
        <v>157</v>
      </c>
    </row>
    <row r="26" spans="1:5">
      <c r="A26" s="12" t="s">
        <v>16</v>
      </c>
      <c r="B26" t="s">
        <v>15</v>
      </c>
      <c r="C26" t="s">
        <v>102</v>
      </c>
      <c r="D26" t="s">
        <v>157</v>
      </c>
    </row>
    <row r="27" spans="1:5">
      <c r="A27" s="12" t="s">
        <v>21</v>
      </c>
      <c r="B27" t="s">
        <v>22</v>
      </c>
      <c r="C27" t="s">
        <v>105</v>
      </c>
      <c r="D27" t="s">
        <v>157</v>
      </c>
    </row>
    <row r="28" spans="1:5" hidden="1">
      <c r="A28" t="s">
        <v>77</v>
      </c>
      <c r="B28" t="s">
        <v>92</v>
      </c>
      <c r="C28" t="s">
        <v>131</v>
      </c>
      <c r="D28" t="s">
        <v>155</v>
      </c>
    </row>
    <row r="29" spans="1:5" hidden="1">
      <c r="A29" t="s">
        <v>73</v>
      </c>
      <c r="B29" t="s">
        <v>88</v>
      </c>
      <c r="C29" t="s">
        <v>127</v>
      </c>
      <c r="D29" t="s">
        <v>155</v>
      </c>
    </row>
    <row r="30" spans="1:5" hidden="1">
      <c r="A30" t="s">
        <v>61</v>
      </c>
      <c r="B30" t="s">
        <v>60</v>
      </c>
      <c r="C30" t="s">
        <v>121</v>
      </c>
      <c r="D30" t="s">
        <v>155</v>
      </c>
    </row>
    <row r="31" spans="1:5" hidden="1">
      <c r="A31" t="s">
        <v>80</v>
      </c>
      <c r="B31" t="s">
        <v>95</v>
      </c>
      <c r="C31" t="s">
        <v>134</v>
      </c>
      <c r="D31" t="s">
        <v>155</v>
      </c>
    </row>
    <row r="32" spans="1:5" hidden="1">
      <c r="A32" t="s">
        <v>68</v>
      </c>
      <c r="B32" t="s">
        <v>85</v>
      </c>
      <c r="C32" t="s">
        <v>124</v>
      </c>
      <c r="D32" t="s">
        <v>155</v>
      </c>
    </row>
    <row r="33" spans="1:4" hidden="1">
      <c r="A33" t="s">
        <v>57</v>
      </c>
      <c r="B33" t="s">
        <v>56</v>
      </c>
      <c r="C33" t="s">
        <v>119</v>
      </c>
      <c r="D33" t="s">
        <v>155</v>
      </c>
    </row>
    <row r="34" spans="1:4" hidden="1">
      <c r="A34" t="s">
        <v>64</v>
      </c>
      <c r="B34" t="s">
        <v>83</v>
      </c>
      <c r="C34" t="s">
        <v>4</v>
      </c>
      <c r="D34" t="s">
        <v>155</v>
      </c>
    </row>
    <row r="35" spans="1:4" hidden="1">
      <c r="A35" t="s">
        <v>78</v>
      </c>
      <c r="B35" t="s">
        <v>93</v>
      </c>
      <c r="C35" t="s">
        <v>132</v>
      </c>
      <c r="D35" t="s">
        <v>155</v>
      </c>
    </row>
    <row r="36" spans="1:4" hidden="1">
      <c r="A36" t="s">
        <v>71</v>
      </c>
      <c r="B36" t="s">
        <v>86</v>
      </c>
      <c r="C36" t="s">
        <v>125</v>
      </c>
      <c r="D36" t="s">
        <v>155</v>
      </c>
    </row>
    <row r="37" spans="1:4" hidden="1">
      <c r="A37" t="s">
        <v>76</v>
      </c>
      <c r="B37" t="s">
        <v>91</v>
      </c>
      <c r="C37" t="s">
        <v>130</v>
      </c>
      <c r="D37" t="s">
        <v>155</v>
      </c>
    </row>
    <row r="38" spans="1:4" hidden="1">
      <c r="A38" t="s">
        <v>66</v>
      </c>
      <c r="B38" t="s">
        <v>17</v>
      </c>
      <c r="C38" t="s">
        <v>103</v>
      </c>
      <c r="D38" t="s">
        <v>155</v>
      </c>
    </row>
    <row r="39" spans="1:4" hidden="1">
      <c r="A39" t="s">
        <v>65</v>
      </c>
      <c r="B39" t="s">
        <v>83</v>
      </c>
      <c r="C39" t="s">
        <v>4</v>
      </c>
      <c r="D39" t="s">
        <v>155</v>
      </c>
    </row>
    <row r="40" spans="1:4" hidden="1">
      <c r="A40" t="s">
        <v>70</v>
      </c>
      <c r="B40" t="s">
        <v>83</v>
      </c>
      <c r="C40" t="s">
        <v>4</v>
      </c>
      <c r="D40" t="s">
        <v>155</v>
      </c>
    </row>
    <row r="41" spans="1:4" hidden="1">
      <c r="A41" t="s">
        <v>69</v>
      </c>
      <c r="B41" t="s">
        <v>83</v>
      </c>
      <c r="C41" t="s">
        <v>4</v>
      </c>
      <c r="D41" t="s">
        <v>155</v>
      </c>
    </row>
    <row r="42" spans="1:4" hidden="1">
      <c r="A42" t="s">
        <v>63</v>
      </c>
      <c r="B42" t="s">
        <v>82</v>
      </c>
      <c r="C42" t="s">
        <v>4</v>
      </c>
      <c r="D42" t="s">
        <v>155</v>
      </c>
    </row>
    <row r="43" spans="1:4" hidden="1">
      <c r="A43" t="s">
        <v>62</v>
      </c>
      <c r="B43" t="s">
        <v>81</v>
      </c>
      <c r="C43" t="s">
        <v>122</v>
      </c>
      <c r="D43" t="s">
        <v>155</v>
      </c>
    </row>
    <row r="44" spans="1:4" hidden="1">
      <c r="A44" t="s">
        <v>75</v>
      </c>
      <c r="B44" t="s">
        <v>90</v>
      </c>
      <c r="C44" t="s">
        <v>129</v>
      </c>
      <c r="D44" t="s">
        <v>155</v>
      </c>
    </row>
    <row r="45" spans="1:4" hidden="1">
      <c r="A45" t="s">
        <v>59</v>
      </c>
      <c r="B45" t="s">
        <v>58</v>
      </c>
      <c r="C45" t="s">
        <v>120</v>
      </c>
      <c r="D45" t="s">
        <v>155</v>
      </c>
    </row>
    <row r="46" spans="1:4" hidden="1">
      <c r="A46" t="s">
        <v>67</v>
      </c>
      <c r="B46" s="2" t="s">
        <v>84</v>
      </c>
      <c r="C46" t="s">
        <v>123</v>
      </c>
      <c r="D46" t="s">
        <v>155</v>
      </c>
    </row>
    <row r="47" spans="1:4" hidden="1">
      <c r="A47" t="s">
        <v>72</v>
      </c>
      <c r="B47" t="s">
        <v>87</v>
      </c>
      <c r="C47" t="s">
        <v>126</v>
      </c>
      <c r="D47" t="s">
        <v>155</v>
      </c>
    </row>
    <row r="48" spans="1:4" hidden="1">
      <c r="A48" t="s">
        <v>74</v>
      </c>
      <c r="B48" t="s">
        <v>89</v>
      </c>
      <c r="C48" t="s">
        <v>128</v>
      </c>
      <c r="D48" t="s">
        <v>155</v>
      </c>
    </row>
    <row r="49" spans="1:4" hidden="1">
      <c r="A49" t="s">
        <v>79</v>
      </c>
      <c r="B49" t="s">
        <v>94</v>
      </c>
      <c r="C49" t="s">
        <v>133</v>
      </c>
      <c r="D49" t="s">
        <v>155</v>
      </c>
    </row>
    <row r="52" spans="1:4" ht="409.5">
      <c r="A52" s="1" t="s">
        <v>221</v>
      </c>
      <c r="B52" s="1" t="s">
        <v>222</v>
      </c>
    </row>
    <row r="53" spans="1:4" ht="360">
      <c r="A53" t="s">
        <v>223</v>
      </c>
      <c r="B53" s="1" t="s">
        <v>224</v>
      </c>
    </row>
    <row r="54" spans="1:4" ht="409.5">
      <c r="A54" t="s">
        <v>226</v>
      </c>
      <c r="B54" s="1" t="s">
        <v>225</v>
      </c>
    </row>
    <row r="55" spans="1:4" ht="409.5">
      <c r="A55" t="s">
        <v>227</v>
      </c>
      <c r="B55" s="1" t="s">
        <v>228</v>
      </c>
    </row>
    <row r="56" spans="1:4" ht="409.5">
      <c r="A56" t="s">
        <v>230</v>
      </c>
      <c r="B56" s="1" t="s">
        <v>229</v>
      </c>
    </row>
    <row r="57" spans="1:4" ht="409.5">
      <c r="A57" t="s">
        <v>233</v>
      </c>
      <c r="B57" s="1" t="s">
        <v>234</v>
      </c>
    </row>
    <row r="58" spans="1:4" ht="360">
      <c r="A58" t="s">
        <v>232</v>
      </c>
      <c r="B58" s="1" t="s">
        <v>231</v>
      </c>
    </row>
    <row r="61" spans="1:4" ht="195">
      <c r="A61" t="s">
        <v>235</v>
      </c>
      <c r="B61" s="1" t="s">
        <v>236</v>
      </c>
    </row>
  </sheetData>
  <autoFilter ref="A1:D49" xr:uid="{C95AF0C1-82DE-4191-B390-3CB2C6669889}">
    <filterColumn colId="3">
      <filters>
        <filter val="raw"/>
      </filters>
    </filterColumn>
    <sortState xmlns:xlrd2="http://schemas.microsoft.com/office/spreadsheetml/2017/richdata2" ref="A2:D49">
      <sortCondition descending="1" ref="D1"/>
    </sortState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FA9DD-EA83-4B92-B0AE-9C51F73E7ADD}">
  <dimension ref="A1:F14"/>
  <sheetViews>
    <sheetView topLeftCell="A10" zoomScale="85" zoomScaleNormal="85" workbookViewId="0">
      <selection activeCell="D6" sqref="D6"/>
    </sheetView>
  </sheetViews>
  <sheetFormatPr defaultRowHeight="15"/>
  <cols>
    <col min="3" max="3" width="30.7109375" bestFit="1" customWidth="1"/>
    <col min="4" max="4" width="255.7109375" bestFit="1" customWidth="1"/>
    <col min="5" max="5" width="81.85546875" bestFit="1" customWidth="1"/>
  </cols>
  <sheetData>
    <row r="1" spans="1:6">
      <c r="B1" s="15" t="s">
        <v>159</v>
      </c>
      <c r="C1" t="s">
        <v>1</v>
      </c>
      <c r="D1" t="s">
        <v>2</v>
      </c>
      <c r="E1" t="s">
        <v>31</v>
      </c>
    </row>
    <row r="2" spans="1:6" ht="409.5">
      <c r="A2" s="10" t="s">
        <v>166</v>
      </c>
      <c r="B2">
        <v>1</v>
      </c>
      <c r="C2" s="14" t="s">
        <v>33</v>
      </c>
      <c r="D2" s="1" t="s">
        <v>32</v>
      </c>
      <c r="E2" t="s">
        <v>110</v>
      </c>
      <c r="F2" t="s">
        <v>164</v>
      </c>
    </row>
    <row r="3" spans="1:6" ht="60">
      <c r="B3" s="10">
        <v>2</v>
      </c>
      <c r="C3" s="12" t="s">
        <v>35</v>
      </c>
      <c r="D3" s="1" t="s">
        <v>34</v>
      </c>
      <c r="E3" t="s">
        <v>111</v>
      </c>
    </row>
    <row r="4" spans="1:6" ht="45">
      <c r="A4" t="s">
        <v>166</v>
      </c>
      <c r="B4">
        <v>3</v>
      </c>
      <c r="C4" s="14" t="s">
        <v>37</v>
      </c>
      <c r="D4" s="1" t="s">
        <v>36</v>
      </c>
      <c r="E4" t="s">
        <v>112</v>
      </c>
      <c r="F4" t="s">
        <v>163</v>
      </c>
    </row>
    <row r="5" spans="1:6" ht="409.5">
      <c r="C5" t="s">
        <v>39</v>
      </c>
      <c r="D5" s="16" t="s">
        <v>38</v>
      </c>
      <c r="E5" t="s">
        <v>113</v>
      </c>
    </row>
    <row r="6" spans="1:6" ht="409.5">
      <c r="C6" t="s">
        <v>41</v>
      </c>
      <c r="D6" s="1" t="s">
        <v>40</v>
      </c>
      <c r="E6" t="s">
        <v>114</v>
      </c>
    </row>
    <row r="7" spans="1:6" ht="75">
      <c r="C7" t="s">
        <v>43</v>
      </c>
      <c r="D7" s="1" t="s">
        <v>42</v>
      </c>
      <c r="E7" t="s">
        <v>115</v>
      </c>
    </row>
    <row r="8" spans="1:6" ht="90">
      <c r="A8" t="s">
        <v>166</v>
      </c>
      <c r="C8" s="14" t="s">
        <v>45</v>
      </c>
      <c r="D8" s="1" t="s">
        <v>44</v>
      </c>
      <c r="E8" t="s">
        <v>116</v>
      </c>
    </row>
    <row r="9" spans="1:6" ht="105">
      <c r="C9" s="12" t="s">
        <v>47</v>
      </c>
      <c r="D9" s="1" t="s">
        <v>46</v>
      </c>
      <c r="E9" t="s">
        <v>117</v>
      </c>
    </row>
    <row r="10" spans="1:6" ht="210">
      <c r="C10" t="s">
        <v>49</v>
      </c>
      <c r="D10" s="1" t="s">
        <v>48</v>
      </c>
      <c r="E10" t="s">
        <v>165</v>
      </c>
    </row>
    <row r="11" spans="1:6" ht="75">
      <c r="A11" t="s">
        <v>166</v>
      </c>
      <c r="C11" s="14" t="s">
        <v>51</v>
      </c>
      <c r="D11" s="1" t="s">
        <v>50</v>
      </c>
      <c r="E11" t="s">
        <v>116</v>
      </c>
    </row>
    <row r="12" spans="1:6" ht="90">
      <c r="A12" t="s">
        <v>166</v>
      </c>
      <c r="C12" s="14" t="s">
        <v>53</v>
      </c>
      <c r="D12" s="1" t="s">
        <v>52</v>
      </c>
      <c r="E12" t="s">
        <v>116</v>
      </c>
    </row>
    <row r="13" spans="1:6" ht="75">
      <c r="A13" t="s">
        <v>166</v>
      </c>
      <c r="C13" s="14" t="s">
        <v>55</v>
      </c>
      <c r="D13" s="1" t="s">
        <v>54</v>
      </c>
      <c r="E13" t="s">
        <v>116</v>
      </c>
    </row>
    <row r="14" spans="1:6">
      <c r="E14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8AC05-F8F9-41E0-9D72-241590AE086B}">
  <dimension ref="A1:C25"/>
  <sheetViews>
    <sheetView topLeftCell="A20" zoomScale="85" zoomScaleNormal="85" workbookViewId="0">
      <selection activeCell="B21" sqref="B21"/>
    </sheetView>
  </sheetViews>
  <sheetFormatPr defaultRowHeight="15"/>
  <cols>
    <col min="1" max="1" width="26.5703125" customWidth="1"/>
    <col min="2" max="2" width="255.7109375" bestFit="1" customWidth="1"/>
    <col min="3" max="3" width="11.85546875" customWidth="1"/>
  </cols>
  <sheetData>
    <row r="1" spans="1:3">
      <c r="A1" t="s">
        <v>1</v>
      </c>
      <c r="B1" t="s">
        <v>2</v>
      </c>
      <c r="C1" t="s">
        <v>31</v>
      </c>
    </row>
    <row r="2" spans="1:3" s="12" customFormat="1">
      <c r="A2" s="12" t="s">
        <v>57</v>
      </c>
      <c r="B2" s="12" t="s">
        <v>56</v>
      </c>
      <c r="C2" s="12" t="s">
        <v>119</v>
      </c>
    </row>
    <row r="3" spans="1:3" ht="315">
      <c r="A3" t="s">
        <v>59</v>
      </c>
      <c r="B3" s="1" t="s">
        <v>58</v>
      </c>
      <c r="C3" t="s">
        <v>120</v>
      </c>
    </row>
    <row r="4" spans="1:3" ht="30">
      <c r="A4" t="s">
        <v>61</v>
      </c>
      <c r="B4" s="1" t="s">
        <v>60</v>
      </c>
      <c r="C4" t="s">
        <v>121</v>
      </c>
    </row>
    <row r="5" spans="1:3" s="36" customFormat="1" ht="409.5">
      <c r="A5" s="36" t="s">
        <v>62</v>
      </c>
      <c r="B5" s="38" t="s">
        <v>81</v>
      </c>
      <c r="C5" s="36" t="s">
        <v>122</v>
      </c>
    </row>
    <row r="6" spans="1:3">
      <c r="A6" t="s">
        <v>63</v>
      </c>
      <c r="B6" t="s">
        <v>82</v>
      </c>
      <c r="C6" t="s">
        <v>4</v>
      </c>
    </row>
    <row r="7" spans="1:3">
      <c r="A7" t="s">
        <v>64</v>
      </c>
      <c r="B7" t="s">
        <v>83</v>
      </c>
      <c r="C7" t="s">
        <v>4</v>
      </c>
    </row>
    <row r="8" spans="1:3">
      <c r="A8" t="s">
        <v>65</v>
      </c>
      <c r="B8" t="s">
        <v>83</v>
      </c>
      <c r="C8" t="s">
        <v>4</v>
      </c>
    </row>
    <row r="9" spans="1:3">
      <c r="A9" t="s">
        <v>69</v>
      </c>
      <c r="B9" t="s">
        <v>83</v>
      </c>
      <c r="C9" t="s">
        <v>4</v>
      </c>
    </row>
    <row r="10" spans="1:3">
      <c r="A10" t="s">
        <v>70</v>
      </c>
      <c r="B10" t="s">
        <v>83</v>
      </c>
      <c r="C10" t="s">
        <v>4</v>
      </c>
    </row>
    <row r="11" spans="1:3" s="12" customFormat="1">
      <c r="A11" s="12" t="s">
        <v>66</v>
      </c>
      <c r="B11" s="12" t="s">
        <v>17</v>
      </c>
      <c r="C11" s="12" t="s">
        <v>103</v>
      </c>
    </row>
    <row r="12" spans="1:3" ht="409.5">
      <c r="A12" s="36" t="s">
        <v>67</v>
      </c>
      <c r="B12" s="37" t="s">
        <v>251</v>
      </c>
      <c r="C12" t="s">
        <v>123</v>
      </c>
    </row>
    <row r="13" spans="1:3" ht="409.6" thickBot="1">
      <c r="A13" t="s">
        <v>68</v>
      </c>
      <c r="B13" s="1" t="s">
        <v>85</v>
      </c>
      <c r="C13" t="s">
        <v>124</v>
      </c>
    </row>
    <row r="14" spans="1:3" ht="15.75" thickBot="1">
      <c r="A14" s="3"/>
      <c r="B14" s="4"/>
      <c r="C14" t="s">
        <v>4</v>
      </c>
    </row>
    <row r="15" spans="1:3" ht="285">
      <c r="A15" t="s">
        <v>71</v>
      </c>
      <c r="B15" s="1" t="s">
        <v>86</v>
      </c>
      <c r="C15" t="s">
        <v>125</v>
      </c>
    </row>
    <row r="16" spans="1:3" s="12" customFormat="1" ht="409.5">
      <c r="A16" s="12" t="s">
        <v>72</v>
      </c>
      <c r="B16" s="33" t="s">
        <v>87</v>
      </c>
      <c r="C16" s="12" t="s">
        <v>126</v>
      </c>
    </row>
    <row r="17" spans="1:3" s="14" customFormat="1" ht="409.5">
      <c r="A17" s="14" t="s">
        <v>73</v>
      </c>
      <c r="B17" s="34" t="s">
        <v>88</v>
      </c>
      <c r="C17" s="14" t="s">
        <v>127</v>
      </c>
    </row>
    <row r="18" spans="1:3">
      <c r="A18" t="s">
        <v>74</v>
      </c>
      <c r="B18" t="s">
        <v>89</v>
      </c>
      <c r="C18" t="s">
        <v>128</v>
      </c>
    </row>
    <row r="19" spans="1:3" ht="409.5">
      <c r="A19" t="s">
        <v>75</v>
      </c>
      <c r="B19" s="1" t="s">
        <v>90</v>
      </c>
      <c r="C19" t="s">
        <v>129</v>
      </c>
    </row>
    <row r="20" spans="1:3" ht="60">
      <c r="A20" t="s">
        <v>76</v>
      </c>
      <c r="B20" s="1" t="s">
        <v>91</v>
      </c>
      <c r="C20" t="s">
        <v>130</v>
      </c>
    </row>
    <row r="21" spans="1:3" ht="409.5">
      <c r="A21" t="s">
        <v>77</v>
      </c>
      <c r="B21" s="1" t="s">
        <v>92</v>
      </c>
      <c r="C21" t="s">
        <v>131</v>
      </c>
    </row>
    <row r="22" spans="1:3" s="36" customFormat="1" ht="409.5">
      <c r="A22" s="36" t="s">
        <v>78</v>
      </c>
      <c r="B22" s="38" t="s">
        <v>93</v>
      </c>
      <c r="C22" s="36" t="s">
        <v>132</v>
      </c>
    </row>
    <row r="23" spans="1:3" s="36" customFormat="1" ht="285">
      <c r="A23" s="36" t="s">
        <v>79</v>
      </c>
      <c r="B23" s="38" t="s">
        <v>94</v>
      </c>
      <c r="C23" s="36" t="s">
        <v>133</v>
      </c>
    </row>
    <row r="24" spans="1:3" s="12" customFormat="1" ht="90.75" thickBot="1">
      <c r="A24" s="12" t="s">
        <v>80</v>
      </c>
      <c r="B24" s="33" t="s">
        <v>95</v>
      </c>
      <c r="C24" s="12" t="s">
        <v>134</v>
      </c>
    </row>
    <row r="25" spans="1:3" ht="409.6" thickBot="1">
      <c r="A25" s="29" t="s">
        <v>39</v>
      </c>
      <c r="B25" s="16" t="s">
        <v>252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1D9C8-EDB0-4ED6-9A39-5809F4A6D14E}">
  <dimension ref="A1:F55"/>
  <sheetViews>
    <sheetView topLeftCell="A25" zoomScaleNormal="100" workbookViewId="0">
      <selection activeCell="B37" sqref="B37"/>
    </sheetView>
  </sheetViews>
  <sheetFormatPr defaultColWidth="28.42578125" defaultRowHeight="15"/>
  <cols>
    <col min="1" max="1" width="15.42578125" bestFit="1" customWidth="1"/>
    <col min="2" max="2" width="31.7109375" customWidth="1"/>
    <col min="3" max="3" width="46.42578125" customWidth="1"/>
    <col min="4" max="4" width="42.85546875" bestFit="1" customWidth="1"/>
    <col min="5" max="5" width="93.28515625" bestFit="1" customWidth="1"/>
  </cols>
  <sheetData>
    <row r="1" spans="1:4" ht="15.75" thickBot="1">
      <c r="A1" s="17" t="s">
        <v>167</v>
      </c>
      <c r="B1" s="17" t="s">
        <v>172</v>
      </c>
      <c r="C1" s="17" t="s">
        <v>173</v>
      </c>
      <c r="D1" s="17" t="s">
        <v>169</v>
      </c>
    </row>
    <row r="2" spans="1:4" ht="15.75" thickBot="1">
      <c r="A2" s="17">
        <v>1</v>
      </c>
      <c r="B2" s="18" t="s">
        <v>28</v>
      </c>
      <c r="C2" s="19" t="s">
        <v>174</v>
      </c>
      <c r="D2" s="18" t="s">
        <v>175</v>
      </c>
    </row>
    <row r="3" spans="1:4" ht="15.75" thickBot="1">
      <c r="A3" s="17">
        <v>1</v>
      </c>
      <c r="B3" s="18" t="s">
        <v>12</v>
      </c>
      <c r="C3" s="19" t="s">
        <v>176</v>
      </c>
      <c r="D3" s="18" t="s">
        <v>175</v>
      </c>
    </row>
    <row r="4" spans="1:4" ht="15.75" thickBot="1">
      <c r="A4" s="17">
        <v>1</v>
      </c>
      <c r="B4" s="18" t="s">
        <v>26</v>
      </c>
      <c r="C4" s="19" t="s">
        <v>177</v>
      </c>
      <c r="D4" s="18" t="s">
        <v>175</v>
      </c>
    </row>
    <row r="5" spans="1:4" ht="15.75" thickBot="1">
      <c r="A5" s="17">
        <v>1</v>
      </c>
      <c r="B5" s="18" t="s">
        <v>24</v>
      </c>
      <c r="C5" s="19" t="s">
        <v>178</v>
      </c>
      <c r="D5" s="18" t="s">
        <v>175</v>
      </c>
    </row>
    <row r="6" spans="1:4" ht="15.75" thickBot="1">
      <c r="A6" s="17">
        <v>1</v>
      </c>
      <c r="B6" s="18" t="s">
        <v>18</v>
      </c>
      <c r="C6" s="19" t="s">
        <v>179</v>
      </c>
      <c r="D6" s="18" t="s">
        <v>175</v>
      </c>
    </row>
    <row r="7" spans="1:4" ht="29.25" thickBot="1">
      <c r="A7" s="17">
        <v>1</v>
      </c>
      <c r="B7" s="18" t="s">
        <v>14</v>
      </c>
      <c r="C7" s="19" t="s">
        <v>180</v>
      </c>
      <c r="D7" s="18" t="s">
        <v>175</v>
      </c>
    </row>
    <row r="8" spans="1:4" ht="15.75" thickBot="1">
      <c r="A8" s="17">
        <v>1</v>
      </c>
      <c r="B8" s="18" t="s">
        <v>9</v>
      </c>
      <c r="C8" s="19" t="s">
        <v>9</v>
      </c>
      <c r="D8" s="18" t="s">
        <v>175</v>
      </c>
    </row>
    <row r="9" spans="1:4" ht="15.75" thickBot="1">
      <c r="A9" s="17">
        <v>1</v>
      </c>
      <c r="B9" s="18" t="s">
        <v>16</v>
      </c>
      <c r="C9" s="19" t="s">
        <v>16</v>
      </c>
      <c r="D9" s="18" t="s">
        <v>175</v>
      </c>
    </row>
    <row r="10" spans="1:4" ht="15.75" thickBot="1">
      <c r="A10" s="17">
        <v>1</v>
      </c>
      <c r="B10" s="18" t="s">
        <v>21</v>
      </c>
      <c r="C10" s="19" t="s">
        <v>181</v>
      </c>
      <c r="D10" s="18" t="s">
        <v>175</v>
      </c>
    </row>
    <row r="11" spans="1:4" ht="15.75" thickBot="1">
      <c r="A11" s="17">
        <v>1</v>
      </c>
      <c r="B11" s="18" t="s">
        <v>20</v>
      </c>
      <c r="C11" s="19" t="s">
        <v>96</v>
      </c>
      <c r="D11" s="18" t="s">
        <v>175</v>
      </c>
    </row>
    <row r="12" spans="1:4" ht="15.75" thickBot="1">
      <c r="A12" s="17">
        <v>1</v>
      </c>
      <c r="B12" s="18" t="s">
        <v>3</v>
      </c>
      <c r="C12" s="19" t="s">
        <v>96</v>
      </c>
      <c r="D12" s="18" t="s">
        <v>175</v>
      </c>
    </row>
    <row r="13" spans="1:4" ht="15.75" thickBot="1">
      <c r="A13" s="17">
        <v>1</v>
      </c>
      <c r="B13" s="18" t="s">
        <v>6</v>
      </c>
      <c r="C13" s="19" t="s">
        <v>182</v>
      </c>
      <c r="D13" s="17" t="s">
        <v>183</v>
      </c>
    </row>
    <row r="14" spans="1:4" ht="15.75" thickBot="1">
      <c r="A14" s="17">
        <v>1</v>
      </c>
      <c r="B14" s="18" t="s">
        <v>7</v>
      </c>
      <c r="C14" s="19" t="s">
        <v>184</v>
      </c>
      <c r="D14" s="17" t="s">
        <v>183</v>
      </c>
    </row>
    <row r="15" spans="1:4" ht="15.75" thickBot="1">
      <c r="A15" s="17">
        <v>1</v>
      </c>
      <c r="B15" s="18" t="s">
        <v>30</v>
      </c>
      <c r="C15" s="19" t="s">
        <v>186</v>
      </c>
      <c r="D15" s="17" t="s">
        <v>185</v>
      </c>
    </row>
    <row r="18" spans="1:5">
      <c r="A18" t="s">
        <v>187</v>
      </c>
    </row>
    <row r="19" spans="1:5" ht="15.75" thickBot="1"/>
    <row r="20" spans="1:5" ht="30.75" thickBot="1">
      <c r="A20" s="17" t="s">
        <v>167</v>
      </c>
      <c r="B20" s="17" t="s">
        <v>188</v>
      </c>
      <c r="C20" s="17" t="s">
        <v>189</v>
      </c>
      <c r="D20" s="17" t="s">
        <v>169</v>
      </c>
      <c r="E20" s="28" t="s">
        <v>220</v>
      </c>
    </row>
    <row r="21" spans="1:5" ht="42" thickBot="1">
      <c r="A21" s="22">
        <v>1</v>
      </c>
      <c r="B21" s="22" t="s">
        <v>241</v>
      </c>
      <c r="C21" s="23" t="s">
        <v>218</v>
      </c>
      <c r="D21" s="24" t="s">
        <v>190</v>
      </c>
      <c r="E21" t="s">
        <v>219</v>
      </c>
    </row>
    <row r="22" spans="1:5" ht="38.25" customHeight="1" thickBot="1">
      <c r="A22" s="22">
        <v>1</v>
      </c>
      <c r="B22" s="22" t="s">
        <v>242</v>
      </c>
      <c r="C22" s="23" t="s">
        <v>191</v>
      </c>
      <c r="D22" s="24" t="s">
        <v>190</v>
      </c>
      <c r="E22" t="s">
        <v>219</v>
      </c>
    </row>
    <row r="23" spans="1:5" ht="15.75" thickBot="1">
      <c r="A23" s="22">
        <v>1</v>
      </c>
      <c r="B23" s="22" t="s">
        <v>243</v>
      </c>
      <c r="C23" s="23" t="s">
        <v>192</v>
      </c>
      <c r="D23" s="24" t="s">
        <v>190</v>
      </c>
      <c r="E23" t="s">
        <v>219</v>
      </c>
    </row>
    <row r="24" spans="1:5" ht="29.25" thickBot="1">
      <c r="A24" s="22">
        <v>1</v>
      </c>
      <c r="B24" s="22" t="s">
        <v>244</v>
      </c>
      <c r="C24" s="23" t="s">
        <v>212</v>
      </c>
      <c r="D24" s="24" t="s">
        <v>190</v>
      </c>
      <c r="E24" s="10" t="s">
        <v>219</v>
      </c>
    </row>
    <row r="25" spans="1:5" ht="32.25" customHeight="1" thickBot="1">
      <c r="A25" s="20">
        <v>2</v>
      </c>
      <c r="B25" s="20" t="s">
        <v>245</v>
      </c>
      <c r="C25" s="20" t="s">
        <v>193</v>
      </c>
      <c r="D25" s="21" t="s">
        <v>194</v>
      </c>
      <c r="E25" t="s">
        <v>240</v>
      </c>
    </row>
    <row r="26" spans="1:5" ht="30.75" thickBot="1">
      <c r="A26" s="20">
        <v>2</v>
      </c>
      <c r="B26" s="20" t="s">
        <v>246</v>
      </c>
      <c r="C26" s="20" t="s">
        <v>195</v>
      </c>
      <c r="D26" s="21" t="s">
        <v>194</v>
      </c>
      <c r="E26" t="s">
        <v>240</v>
      </c>
    </row>
    <row r="27" spans="1:5" ht="30.75" thickBot="1">
      <c r="A27" s="20">
        <v>2</v>
      </c>
      <c r="B27" s="20" t="s">
        <v>247</v>
      </c>
      <c r="C27" s="20" t="s">
        <v>193</v>
      </c>
      <c r="D27" s="21" t="s">
        <v>194</v>
      </c>
      <c r="E27" t="s">
        <v>240</v>
      </c>
    </row>
    <row r="28" spans="1:5" ht="30.75" thickBot="1">
      <c r="A28" s="20">
        <v>2</v>
      </c>
      <c r="B28" s="20" t="s">
        <v>248</v>
      </c>
      <c r="C28" s="20" t="s">
        <v>193</v>
      </c>
      <c r="D28" s="21" t="s">
        <v>194</v>
      </c>
      <c r="E28" t="s">
        <v>240</v>
      </c>
    </row>
    <row r="29" spans="1:5" ht="30.75" thickBot="1">
      <c r="A29" s="20">
        <v>2</v>
      </c>
      <c r="B29" s="20" t="s">
        <v>249</v>
      </c>
      <c r="C29" s="20" t="s">
        <v>193</v>
      </c>
      <c r="D29" s="21" t="s">
        <v>194</v>
      </c>
      <c r="E29" t="s">
        <v>240</v>
      </c>
    </row>
    <row r="30" spans="1:5" ht="30.75" thickBot="1">
      <c r="A30" s="20">
        <v>2</v>
      </c>
      <c r="B30" s="20" t="s">
        <v>250</v>
      </c>
      <c r="C30" s="20" t="s">
        <v>193</v>
      </c>
      <c r="D30" s="21" t="s">
        <v>194</v>
      </c>
      <c r="E30" t="s">
        <v>240</v>
      </c>
    </row>
    <row r="34" spans="1:6" ht="15.75" thickBot="1">
      <c r="A34" t="s">
        <v>211</v>
      </c>
    </row>
    <row r="35" spans="1:6" ht="15.75" thickBot="1">
      <c r="A35" s="17" t="s">
        <v>167</v>
      </c>
      <c r="B35" s="17" t="s">
        <v>168</v>
      </c>
      <c r="C35" s="17" t="s">
        <v>196</v>
      </c>
      <c r="D35" s="17" t="s">
        <v>169</v>
      </c>
    </row>
    <row r="36" spans="1:6" ht="15.75" thickBot="1">
      <c r="A36" s="22">
        <v>1</v>
      </c>
      <c r="B36" s="22" t="s">
        <v>254</v>
      </c>
      <c r="C36" s="23"/>
      <c r="D36" s="24"/>
    </row>
    <row r="37" spans="1:6" ht="15.75" thickBot="1">
      <c r="A37" s="22">
        <v>1</v>
      </c>
      <c r="B37" s="22" t="s">
        <v>255</v>
      </c>
      <c r="C37" s="23"/>
      <c r="D37" s="24"/>
    </row>
    <row r="38" spans="1:6" ht="15.75" thickBot="1">
      <c r="A38" s="22">
        <v>1</v>
      </c>
      <c r="B38" s="22" t="s">
        <v>30</v>
      </c>
      <c r="C38" s="23" t="s">
        <v>186</v>
      </c>
      <c r="D38" s="24" t="s">
        <v>185</v>
      </c>
    </row>
    <row r="39" spans="1:6" ht="29.25" thickBot="1">
      <c r="A39" s="22">
        <v>1</v>
      </c>
      <c r="B39" s="22" t="s">
        <v>72</v>
      </c>
      <c r="C39" s="23" t="s">
        <v>197</v>
      </c>
      <c r="D39" s="24" t="s">
        <v>170</v>
      </c>
      <c r="F39" s="35" t="s">
        <v>240</v>
      </c>
    </row>
    <row r="40" spans="1:6" ht="15.75" thickBot="1">
      <c r="A40" s="22">
        <v>1</v>
      </c>
      <c r="B40" s="22" t="s">
        <v>66</v>
      </c>
      <c r="C40" s="23" t="s">
        <v>198</v>
      </c>
      <c r="D40" s="24" t="s">
        <v>170</v>
      </c>
      <c r="E40" t="s">
        <v>214</v>
      </c>
      <c r="F40" s="35" t="s">
        <v>240</v>
      </c>
    </row>
    <row r="41" spans="1:6" ht="30.75" thickBot="1">
      <c r="A41" s="22"/>
      <c r="B41" s="22" t="s">
        <v>62</v>
      </c>
      <c r="C41" s="23" t="s">
        <v>199</v>
      </c>
      <c r="D41" s="24"/>
      <c r="E41" s="1" t="s">
        <v>215</v>
      </c>
      <c r="F41" s="35" t="s">
        <v>240</v>
      </c>
    </row>
    <row r="42" spans="1:6" ht="30.75" thickBot="1">
      <c r="A42" s="22">
        <v>1</v>
      </c>
      <c r="B42" s="22" t="s">
        <v>78</v>
      </c>
      <c r="C42" s="23" t="s">
        <v>199</v>
      </c>
      <c r="D42" s="24" t="s">
        <v>170</v>
      </c>
      <c r="E42" s="1" t="s">
        <v>215</v>
      </c>
      <c r="F42" s="35" t="s">
        <v>240</v>
      </c>
    </row>
    <row r="43" spans="1:6" ht="15.75" thickBot="1">
      <c r="A43" s="22">
        <v>1</v>
      </c>
      <c r="B43" s="22" t="s">
        <v>57</v>
      </c>
      <c r="C43" s="23" t="s">
        <v>200</v>
      </c>
      <c r="D43" s="24" t="s">
        <v>170</v>
      </c>
      <c r="F43" s="35" t="s">
        <v>240</v>
      </c>
    </row>
    <row r="44" spans="1:6" ht="29.25" thickBot="1">
      <c r="A44" s="22">
        <v>1</v>
      </c>
      <c r="B44" s="22" t="s">
        <v>79</v>
      </c>
      <c r="C44" s="23" t="s">
        <v>201</v>
      </c>
      <c r="D44" s="24" t="s">
        <v>170</v>
      </c>
      <c r="E44" t="s">
        <v>216</v>
      </c>
      <c r="F44" s="35" t="s">
        <v>240</v>
      </c>
    </row>
    <row r="45" spans="1:6" ht="29.25" thickBot="1">
      <c r="A45" s="22">
        <v>1</v>
      </c>
      <c r="B45" s="22" t="s">
        <v>75</v>
      </c>
      <c r="C45" s="23" t="s">
        <v>253</v>
      </c>
      <c r="D45" s="24" t="s">
        <v>170</v>
      </c>
      <c r="F45" s="35" t="s">
        <v>240</v>
      </c>
    </row>
    <row r="46" spans="1:6" ht="15.75" thickBot="1">
      <c r="A46" s="22">
        <v>1</v>
      </c>
      <c r="B46" s="22" t="s">
        <v>74</v>
      </c>
      <c r="C46" s="23" t="s">
        <v>202</v>
      </c>
      <c r="D46" s="24" t="s">
        <v>170</v>
      </c>
      <c r="F46" s="35" t="s">
        <v>240</v>
      </c>
    </row>
    <row r="47" spans="1:6" ht="15.75" thickBot="1">
      <c r="A47" s="22">
        <v>1</v>
      </c>
      <c r="B47" s="22" t="s">
        <v>80</v>
      </c>
      <c r="C47" s="23" t="s">
        <v>203</v>
      </c>
      <c r="D47" s="24" t="s">
        <v>170</v>
      </c>
      <c r="F47" s="35" t="s">
        <v>240</v>
      </c>
    </row>
    <row r="48" spans="1:6" ht="15.75" thickBot="1">
      <c r="A48" s="25">
        <v>2</v>
      </c>
      <c r="B48" s="25" t="s">
        <v>59</v>
      </c>
      <c r="C48" s="25" t="s">
        <v>204</v>
      </c>
      <c r="D48" s="26" t="s">
        <v>171</v>
      </c>
      <c r="F48" s="35" t="s">
        <v>240</v>
      </c>
    </row>
    <row r="49" spans="1:6" ht="30" thickBot="1">
      <c r="A49" s="25">
        <v>2</v>
      </c>
      <c r="B49" s="25" t="s">
        <v>49</v>
      </c>
      <c r="C49" s="25" t="s">
        <v>239</v>
      </c>
      <c r="D49" s="26" t="s">
        <v>171</v>
      </c>
      <c r="E49" t="s">
        <v>213</v>
      </c>
      <c r="F49" s="35" t="s">
        <v>240</v>
      </c>
    </row>
    <row r="50" spans="1:6" ht="28.5" thickBot="1">
      <c r="A50" s="25">
        <v>2</v>
      </c>
      <c r="B50" s="25" t="s">
        <v>68</v>
      </c>
      <c r="C50" s="25" t="s">
        <v>205</v>
      </c>
      <c r="D50" s="26" t="s">
        <v>171</v>
      </c>
      <c r="E50" t="s">
        <v>217</v>
      </c>
      <c r="F50" s="35" t="s">
        <v>240</v>
      </c>
    </row>
    <row r="51" spans="1:6" ht="15.75" thickBot="1">
      <c r="A51" s="25">
        <v>2</v>
      </c>
      <c r="B51" s="25" t="s">
        <v>73</v>
      </c>
      <c r="C51" s="25" t="s">
        <v>206</v>
      </c>
      <c r="D51" s="26" t="s">
        <v>171</v>
      </c>
      <c r="F51" s="35" t="s">
        <v>240</v>
      </c>
    </row>
    <row r="52" spans="1:6" ht="15.75" thickBot="1">
      <c r="A52" s="25">
        <v>2</v>
      </c>
      <c r="B52" s="25" t="s">
        <v>61</v>
      </c>
      <c r="C52" s="25" t="s">
        <v>207</v>
      </c>
      <c r="D52" s="26" t="s">
        <v>171</v>
      </c>
      <c r="F52" s="35" t="s">
        <v>240</v>
      </c>
    </row>
    <row r="53" spans="1:6" ht="15.75" thickBot="1">
      <c r="A53" s="25">
        <v>2</v>
      </c>
      <c r="B53" s="25" t="s">
        <v>71</v>
      </c>
      <c r="C53" s="27" t="s">
        <v>208</v>
      </c>
      <c r="D53" s="26" t="s">
        <v>171</v>
      </c>
      <c r="F53" s="35" t="s">
        <v>240</v>
      </c>
    </row>
    <row r="54" spans="1:6" ht="29.25" thickBot="1">
      <c r="A54" s="29">
        <v>3</v>
      </c>
      <c r="B54" s="29" t="s">
        <v>39</v>
      </c>
      <c r="C54" s="30" t="s">
        <v>237</v>
      </c>
      <c r="D54" s="31" t="s">
        <v>238</v>
      </c>
      <c r="E54" s="10"/>
      <c r="F54" s="35" t="s">
        <v>240</v>
      </c>
    </row>
    <row r="55" spans="1:6" ht="30.75" thickBot="1">
      <c r="A55" s="32">
        <v>4</v>
      </c>
      <c r="B55" s="32" t="s">
        <v>67</v>
      </c>
      <c r="C55" s="32" t="s">
        <v>209</v>
      </c>
      <c r="D55" s="32" t="s">
        <v>210</v>
      </c>
      <c r="F55" s="35" t="s">
        <v>240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BFE4C-58E0-4C99-8D47-2F761D47E1FD}">
  <dimension ref="C1:H23"/>
  <sheetViews>
    <sheetView workbookViewId="0">
      <selection activeCell="C18" sqref="C18"/>
    </sheetView>
  </sheetViews>
  <sheetFormatPr defaultRowHeight="15"/>
  <cols>
    <col min="1" max="1" width="28.28515625" bestFit="1" customWidth="1"/>
    <col min="3" max="3" width="21.42578125" bestFit="1" customWidth="1"/>
    <col min="6" max="6" width="28.28515625" bestFit="1" customWidth="1"/>
  </cols>
  <sheetData>
    <row r="1" spans="3:8" ht="15.75" thickBot="1">
      <c r="C1" s="43" t="s">
        <v>57</v>
      </c>
      <c r="F1" s="39" t="s">
        <v>30</v>
      </c>
      <c r="H1" t="str">
        <f>VLOOKUP(C1,$F$1:$F$18,1,0)</f>
        <v>Despesas Realizadas</v>
      </c>
    </row>
    <row r="2" spans="3:8" ht="15.75" thickBot="1">
      <c r="C2" s="43" t="s">
        <v>59</v>
      </c>
      <c r="F2" s="39" t="s">
        <v>72</v>
      </c>
      <c r="H2" t="str">
        <f t="shared" ref="H2:H23" si="0">VLOOKUP(C2,$F$1:$F$18,1,0)</f>
        <v>Receitas Realizadas</v>
      </c>
    </row>
    <row r="3" spans="3:8" ht="15.75" thickBot="1">
      <c r="C3" s="43" t="s">
        <v>61</v>
      </c>
      <c r="F3" s="39" t="s">
        <v>66</v>
      </c>
      <c r="H3" t="str">
        <f t="shared" si="0"/>
        <v>Datas Financeiro</v>
      </c>
    </row>
    <row r="4" spans="3:8" ht="15.75" thickBot="1">
      <c r="C4" s="43" t="s">
        <v>62</v>
      </c>
      <c r="F4" s="39" t="s">
        <v>62</v>
      </c>
      <c r="H4" t="str">
        <f t="shared" si="0"/>
        <v>Lojas</v>
      </c>
    </row>
    <row r="5" spans="3:8" ht="15.75" thickBot="1">
      <c r="C5" s="45" t="s">
        <v>63</v>
      </c>
      <c r="F5" s="39" t="s">
        <v>78</v>
      </c>
      <c r="H5" t="e">
        <f t="shared" si="0"/>
        <v>#N/A</v>
      </c>
    </row>
    <row r="6" spans="3:8" ht="15.75" thickBot="1">
      <c r="C6" s="45" t="s">
        <v>64</v>
      </c>
      <c r="F6" s="39" t="s">
        <v>57</v>
      </c>
      <c r="H6" t="e">
        <f t="shared" si="0"/>
        <v>#N/A</v>
      </c>
    </row>
    <row r="7" spans="3:8" ht="15.75" thickBot="1">
      <c r="C7" s="45" t="s">
        <v>65</v>
      </c>
      <c r="F7" s="39" t="s">
        <v>79</v>
      </c>
      <c r="H7" t="e">
        <f t="shared" si="0"/>
        <v>#N/A</v>
      </c>
    </row>
    <row r="8" spans="3:8" ht="15.75" thickBot="1">
      <c r="C8" s="45" t="s">
        <v>69</v>
      </c>
      <c r="F8" s="39" t="s">
        <v>75</v>
      </c>
      <c r="H8" t="e">
        <f t="shared" si="0"/>
        <v>#N/A</v>
      </c>
    </row>
    <row r="9" spans="3:8" ht="15.75" thickBot="1">
      <c r="C9" s="45" t="s">
        <v>70</v>
      </c>
      <c r="F9" s="39" t="s">
        <v>74</v>
      </c>
      <c r="H9" t="e">
        <f t="shared" si="0"/>
        <v>#N/A</v>
      </c>
    </row>
    <row r="10" spans="3:8" ht="15.75" thickBot="1">
      <c r="C10" s="43" t="s">
        <v>66</v>
      </c>
      <c r="F10" s="39" t="s">
        <v>80</v>
      </c>
      <c r="H10" t="str">
        <f t="shared" si="0"/>
        <v>Fornecedores Financeiro</v>
      </c>
    </row>
    <row r="11" spans="3:8" ht="15.75" thickBot="1">
      <c r="C11" s="43" t="s">
        <v>67</v>
      </c>
      <c r="F11" s="40" t="s">
        <v>59</v>
      </c>
      <c r="H11" t="str">
        <f t="shared" si="0"/>
        <v>Resultado Realizado</v>
      </c>
    </row>
    <row r="12" spans="3:8" ht="15.75" thickBot="1">
      <c r="C12" s="43" t="s">
        <v>68</v>
      </c>
      <c r="F12" s="40" t="s">
        <v>49</v>
      </c>
      <c r="H12" t="str">
        <f t="shared" si="0"/>
        <v>Despesas Orcadas</v>
      </c>
    </row>
    <row r="13" spans="3:8" ht="15.75" thickBot="1">
      <c r="C13" s="43" t="s">
        <v>71</v>
      </c>
      <c r="F13" s="40" t="s">
        <v>68</v>
      </c>
      <c r="H13" t="str">
        <f t="shared" si="0"/>
        <v>Estoques</v>
      </c>
    </row>
    <row r="14" spans="3:8" ht="15.75" thickBot="1">
      <c r="C14" s="43" t="s">
        <v>72</v>
      </c>
      <c r="F14" s="40" t="s">
        <v>73</v>
      </c>
      <c r="H14" t="str">
        <f t="shared" si="0"/>
        <v>Vendas</v>
      </c>
    </row>
    <row r="15" spans="3:8" ht="15.75" thickBot="1">
      <c r="C15" s="43" t="s">
        <v>73</v>
      </c>
      <c r="F15" s="40" t="s">
        <v>61</v>
      </c>
      <c r="H15" t="str">
        <f t="shared" si="0"/>
        <v>Data das Transações</v>
      </c>
    </row>
    <row r="16" spans="3:8" ht="15.75" thickBot="1">
      <c r="C16" s="43" t="s">
        <v>74</v>
      </c>
      <c r="F16" s="40" t="s">
        <v>71</v>
      </c>
      <c r="H16" t="str">
        <f t="shared" si="0"/>
        <v>Vendas 5 Anos</v>
      </c>
    </row>
    <row r="17" spans="3:8" ht="15.75" thickBot="1">
      <c r="C17" s="43" t="s">
        <v>75</v>
      </c>
      <c r="F17" s="41" t="s">
        <v>39</v>
      </c>
      <c r="H17" t="str">
        <f t="shared" si="0"/>
        <v>Produtos</v>
      </c>
    </row>
    <row r="18" spans="3:8" ht="15.75" thickBot="1">
      <c r="C18" s="45" t="s">
        <v>76</v>
      </c>
      <c r="F18" s="42" t="s">
        <v>67</v>
      </c>
      <c r="H18" t="e">
        <f t="shared" si="0"/>
        <v>#N/A</v>
      </c>
    </row>
    <row r="19" spans="3:8">
      <c r="C19" s="45" t="s">
        <v>77</v>
      </c>
      <c r="H19" t="e">
        <f t="shared" si="0"/>
        <v>#N/A</v>
      </c>
    </row>
    <row r="20" spans="3:8">
      <c r="C20" s="43" t="s">
        <v>78</v>
      </c>
      <c r="H20" t="str">
        <f t="shared" si="0"/>
        <v>Empresas</v>
      </c>
    </row>
    <row r="21" spans="3:8">
      <c r="C21" s="43" t="s">
        <v>79</v>
      </c>
      <c r="H21" t="str">
        <f t="shared" si="0"/>
        <v>Vendedores</v>
      </c>
    </row>
    <row r="22" spans="3:8" ht="15.75" thickBot="1">
      <c r="C22" s="43" t="s">
        <v>80</v>
      </c>
      <c r="H22" t="str">
        <f t="shared" si="0"/>
        <v>Depositos</v>
      </c>
    </row>
    <row r="23" spans="3:8" ht="30.75" thickBot="1">
      <c r="C23" s="44" t="s">
        <v>39</v>
      </c>
      <c r="H23" t="str">
        <f t="shared" si="0"/>
        <v>Contribuicao Despesas CD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CDFC0-4F6F-41CF-89C7-7A3735EEBB58}">
  <dimension ref="A1:X131"/>
  <sheetViews>
    <sheetView tabSelected="1" topLeftCell="A60" workbookViewId="0">
      <selection activeCell="X72" sqref="X72"/>
    </sheetView>
  </sheetViews>
  <sheetFormatPr defaultRowHeight="15"/>
  <sheetData>
    <row r="1" spans="1:1" ht="18">
      <c r="A1" s="5" t="s">
        <v>135</v>
      </c>
    </row>
    <row r="3" spans="1:1">
      <c r="A3" t="s">
        <v>136</v>
      </c>
    </row>
    <row r="4" spans="1:1">
      <c r="A4" s="6"/>
    </row>
    <row r="5" spans="1:1">
      <c r="A5" s="7" t="s">
        <v>3</v>
      </c>
    </row>
    <row r="6" spans="1:1">
      <c r="A6" s="6"/>
    </row>
    <row r="7" spans="1:1">
      <c r="A7" s="7" t="s">
        <v>6</v>
      </c>
    </row>
    <row r="8" spans="1:1">
      <c r="A8" s="6"/>
    </row>
    <row r="9" spans="1:1">
      <c r="A9" s="7" t="s">
        <v>7</v>
      </c>
    </row>
    <row r="10" spans="1:1">
      <c r="A10" s="6"/>
    </row>
    <row r="11" spans="1:1">
      <c r="A11" s="7" t="s">
        <v>9</v>
      </c>
    </row>
    <row r="12" spans="1:1">
      <c r="A12" s="6"/>
    </row>
    <row r="13" spans="1:1">
      <c r="A13" s="7" t="s">
        <v>12</v>
      </c>
    </row>
    <row r="14" spans="1:1">
      <c r="A14" s="6"/>
    </row>
    <row r="15" spans="1:1">
      <c r="A15" s="7" t="s">
        <v>14</v>
      </c>
    </row>
    <row r="16" spans="1:1">
      <c r="A16" s="6"/>
    </row>
    <row r="17" spans="1:1">
      <c r="A17" s="7" t="s">
        <v>16</v>
      </c>
    </row>
    <row r="18" spans="1:1">
      <c r="A18" s="6"/>
    </row>
    <row r="19" spans="1:1">
      <c r="A19" s="7" t="s">
        <v>18</v>
      </c>
    </row>
    <row r="20" spans="1:1">
      <c r="A20" s="6"/>
    </row>
    <row r="21" spans="1:1">
      <c r="A21" s="7" t="s">
        <v>20</v>
      </c>
    </row>
    <row r="22" spans="1:1">
      <c r="A22" s="6"/>
    </row>
    <row r="23" spans="1:1">
      <c r="A23" s="7" t="s">
        <v>21</v>
      </c>
    </row>
    <row r="24" spans="1:1">
      <c r="A24" s="6"/>
    </row>
    <row r="25" spans="1:1">
      <c r="A25" s="7" t="s">
        <v>24</v>
      </c>
    </row>
    <row r="26" spans="1:1">
      <c r="A26" s="6"/>
    </row>
    <row r="27" spans="1:1">
      <c r="A27" s="7" t="s">
        <v>26</v>
      </c>
    </row>
    <row r="28" spans="1:1">
      <c r="A28" s="6"/>
    </row>
    <row r="29" spans="1:1">
      <c r="A29" s="7" t="s">
        <v>28</v>
      </c>
    </row>
    <row r="30" spans="1:1">
      <c r="A30" s="6"/>
    </row>
    <row r="31" spans="1:1">
      <c r="A31" s="7" t="s">
        <v>30</v>
      </c>
    </row>
    <row r="32" spans="1:1">
      <c r="A32" s="6"/>
    </row>
    <row r="33" spans="1:1">
      <c r="A33" s="7" t="s">
        <v>119</v>
      </c>
    </row>
    <row r="34" spans="1:1">
      <c r="A34" s="6"/>
    </row>
    <row r="35" spans="1:1">
      <c r="A35" s="7" t="s">
        <v>137</v>
      </c>
    </row>
    <row r="36" spans="1:1">
      <c r="A36" s="6"/>
    </row>
    <row r="37" spans="1:1">
      <c r="A37" s="7" t="s">
        <v>138</v>
      </c>
    </row>
    <row r="38" spans="1:1">
      <c r="A38" s="6"/>
    </row>
    <row r="39" spans="1:1">
      <c r="A39" s="7" t="s">
        <v>139</v>
      </c>
    </row>
    <row r="40" spans="1:1">
      <c r="A40" s="6"/>
    </row>
    <row r="41" spans="1:1">
      <c r="A41" s="7" t="s">
        <v>140</v>
      </c>
    </row>
    <row r="42" spans="1:1">
      <c r="A42" s="6"/>
    </row>
    <row r="43" spans="1:1">
      <c r="A43" s="7" t="s">
        <v>141</v>
      </c>
    </row>
    <row r="44" spans="1:1">
      <c r="A44" s="6"/>
    </row>
    <row r="45" spans="1:1">
      <c r="A45" s="7" t="s">
        <v>142</v>
      </c>
    </row>
    <row r="46" spans="1:1">
      <c r="A46" s="6"/>
    </row>
    <row r="47" spans="1:1">
      <c r="A47" s="7" t="s">
        <v>143</v>
      </c>
    </row>
    <row r="51" spans="1:9" ht="18">
      <c r="A51" s="5" t="s">
        <v>144</v>
      </c>
    </row>
    <row r="53" spans="1:9">
      <c r="A53" t="s">
        <v>145</v>
      </c>
    </row>
    <row r="54" spans="1:9">
      <c r="A54" s="6"/>
    </row>
    <row r="55" spans="1:9">
      <c r="A55" s="7" t="s">
        <v>35</v>
      </c>
    </row>
    <row r="56" spans="1:9">
      <c r="A56" s="6"/>
    </row>
    <row r="57" spans="1:9">
      <c r="A57" s="7" t="s">
        <v>37</v>
      </c>
    </row>
    <row r="58" spans="1:9">
      <c r="A58" s="6"/>
    </row>
    <row r="59" spans="1:9">
      <c r="A59" s="7" t="s">
        <v>43</v>
      </c>
    </row>
    <row r="60" spans="1:9">
      <c r="A60" s="6"/>
    </row>
    <row r="61" spans="1:9">
      <c r="A61" s="7" t="s">
        <v>45</v>
      </c>
    </row>
    <row r="62" spans="1:9">
      <c r="A62" s="6"/>
      <c r="H62" s="10"/>
    </row>
    <row r="63" spans="1:9">
      <c r="A63" s="7" t="s">
        <v>47</v>
      </c>
      <c r="H63" s="10"/>
      <c r="I63" s="10"/>
    </row>
    <row r="64" spans="1:9">
      <c r="A64" s="6"/>
    </row>
    <row r="65" spans="1:24">
      <c r="A65" s="7" t="s">
        <v>51</v>
      </c>
    </row>
    <row r="66" spans="1:24">
      <c r="A66" s="6"/>
    </row>
    <row r="67" spans="1:24">
      <c r="A67" s="7" t="s">
        <v>53</v>
      </c>
    </row>
    <row r="68" spans="1:24">
      <c r="A68" s="6"/>
    </row>
    <row r="69" spans="1:24">
      <c r="A69" s="7" t="s">
        <v>55</v>
      </c>
    </row>
    <row r="70" spans="1:24">
      <c r="A70" s="6"/>
    </row>
    <row r="71" spans="1:24">
      <c r="A71" s="7" t="s">
        <v>33</v>
      </c>
    </row>
    <row r="72" spans="1:24">
      <c r="A72" s="6"/>
      <c r="X72" s="10"/>
    </row>
    <row r="73" spans="1:24">
      <c r="A73" s="7" t="s">
        <v>39</v>
      </c>
    </row>
    <row r="74" spans="1:24">
      <c r="A74" s="6"/>
    </row>
    <row r="75" spans="1:24">
      <c r="A75" s="7" t="s">
        <v>41</v>
      </c>
    </row>
    <row r="76" spans="1:24">
      <c r="A76" s="6"/>
    </row>
    <row r="77" spans="1:24">
      <c r="A77" s="7" t="s">
        <v>49</v>
      </c>
    </row>
    <row r="81" spans="1:1" ht="18">
      <c r="A81" s="5" t="s">
        <v>146</v>
      </c>
    </row>
    <row r="83" spans="1:1">
      <c r="A83" t="s">
        <v>147</v>
      </c>
    </row>
    <row r="85" spans="1:1">
      <c r="A85" s="8" t="s">
        <v>148</v>
      </c>
    </row>
    <row r="86" spans="1:1">
      <c r="A86" s="6"/>
    </row>
    <row r="87" spans="1:1">
      <c r="A87" s="7" t="s">
        <v>80</v>
      </c>
    </row>
    <row r="88" spans="1:1">
      <c r="A88" s="6"/>
    </row>
    <row r="89" spans="1:1">
      <c r="A89" s="7" t="s">
        <v>76</v>
      </c>
    </row>
    <row r="90" spans="1:1">
      <c r="A90" s="6"/>
    </row>
    <row r="91" spans="1:1">
      <c r="A91" s="7" t="s">
        <v>66</v>
      </c>
    </row>
    <row r="92" spans="1:1">
      <c r="A92" s="6"/>
    </row>
    <row r="93" spans="1:1">
      <c r="A93" s="7" t="s">
        <v>63</v>
      </c>
    </row>
    <row r="94" spans="1:1">
      <c r="A94" s="6"/>
    </row>
    <row r="95" spans="1:1">
      <c r="A95" s="7" t="s">
        <v>64</v>
      </c>
    </row>
    <row r="96" spans="1:1">
      <c r="A96" s="6"/>
    </row>
    <row r="97" spans="1:1">
      <c r="A97" s="7" t="s">
        <v>65</v>
      </c>
    </row>
    <row r="98" spans="1:1">
      <c r="A98" s="6"/>
    </row>
    <row r="99" spans="1:1">
      <c r="A99" s="7" t="s">
        <v>69</v>
      </c>
    </row>
    <row r="100" spans="1:1">
      <c r="A100" s="6"/>
    </row>
    <row r="101" spans="1:1">
      <c r="A101" s="7" t="s">
        <v>70</v>
      </c>
    </row>
    <row r="102" spans="1:1">
      <c r="A102" s="6"/>
    </row>
    <row r="103" spans="1:1">
      <c r="A103" s="7" t="s">
        <v>71</v>
      </c>
    </row>
    <row r="104" spans="1:1">
      <c r="A104" s="6"/>
    </row>
    <row r="105" spans="1:1">
      <c r="A105" s="7" t="s">
        <v>78</v>
      </c>
    </row>
    <row r="106" spans="1:1">
      <c r="A106" s="6"/>
    </row>
    <row r="107" spans="1:1">
      <c r="A107" s="7" t="s">
        <v>79</v>
      </c>
    </row>
    <row r="108" spans="1:1">
      <c r="A108" s="6"/>
    </row>
    <row r="109" spans="1:1">
      <c r="A109" s="7" t="s">
        <v>77</v>
      </c>
    </row>
    <row r="110" spans="1:1">
      <c r="A110" s="6"/>
    </row>
    <row r="111" spans="1:1">
      <c r="A111" s="7" t="s">
        <v>75</v>
      </c>
    </row>
    <row r="112" spans="1:1">
      <c r="A112" s="6"/>
    </row>
    <row r="113" spans="1:1">
      <c r="A113" s="7" t="s">
        <v>62</v>
      </c>
    </row>
    <row r="114" spans="1:1">
      <c r="A114" s="6"/>
    </row>
    <row r="115" spans="1:1">
      <c r="A115" s="7" t="s">
        <v>57</v>
      </c>
    </row>
    <row r="116" spans="1:1">
      <c r="A116" s="6"/>
    </row>
    <row r="117" spans="1:1">
      <c r="A117" s="7" t="s">
        <v>72</v>
      </c>
    </row>
    <row r="118" spans="1:1">
      <c r="A118" s="6"/>
    </row>
    <row r="119" spans="1:1">
      <c r="A119" s="7" t="s">
        <v>74</v>
      </c>
    </row>
    <row r="121" spans="1:1">
      <c r="A121" s="8" t="s">
        <v>149</v>
      </c>
    </row>
    <row r="122" spans="1:1">
      <c r="A122" s="6"/>
    </row>
    <row r="123" spans="1:1">
      <c r="A123" s="9" t="s">
        <v>150</v>
      </c>
    </row>
    <row r="124" spans="1:1">
      <c r="A124" s="6"/>
    </row>
    <row r="125" spans="1:1">
      <c r="A125" s="9" t="s">
        <v>151</v>
      </c>
    </row>
    <row r="126" spans="1:1">
      <c r="A126" s="6"/>
    </row>
    <row r="127" spans="1:1">
      <c r="A127" s="9" t="s">
        <v>152</v>
      </c>
    </row>
    <row r="128" spans="1:1">
      <c r="A128" s="6"/>
    </row>
    <row r="129" spans="1:1">
      <c r="A129" s="9" t="s">
        <v>153</v>
      </c>
    </row>
    <row r="130" spans="1:1">
      <c r="A130" s="6"/>
    </row>
    <row r="131" spans="1:1">
      <c r="A131" s="9" t="s">
        <v>154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stg</vt:lpstr>
      <vt:lpstr>Gold</vt:lpstr>
      <vt:lpstr>Camada Relacional</vt:lpstr>
      <vt:lpstr>Planilha1</vt:lpstr>
      <vt:lpstr>Planilha2</vt:lpstr>
      <vt:lpstr>Ordem jobs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Ruschel</dc:creator>
  <cp:lastModifiedBy>Guilherme Ruschel</cp:lastModifiedBy>
  <dcterms:created xsi:type="dcterms:W3CDTF">2025-09-17T11:34:03Z</dcterms:created>
  <dcterms:modified xsi:type="dcterms:W3CDTF">2026-01-09T13:25:40Z</dcterms:modified>
</cp:coreProperties>
</file>